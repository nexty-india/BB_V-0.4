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Project\Motor\FOC\1Shunt\00_BaseSource\Work\Trunk\Examples\Motor_Application\Parameter\"/>
    </mc:Choice>
  </mc:AlternateContent>
  <xr:revisionPtr revIDLastSave="0" documentId="13_ncr:1_{D0455C4E-5FE7-4BCA-89EC-39877BA251AC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I_scale++" sheetId="4" r:id="rId1"/>
    <sheet name="V_scale" sheetId="2" r:id="rId2"/>
    <sheet name="D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4" l="1"/>
  <c r="C29" i="4" s="1"/>
  <c r="C15" i="4"/>
  <c r="C7" i="4"/>
  <c r="C26" i="4" l="1"/>
  <c r="C17" i="4"/>
  <c r="B12" i="3"/>
  <c r="D12" i="3" s="1"/>
  <c r="E12" i="3" s="1"/>
  <c r="B11" i="3"/>
  <c r="D11" i="3" s="1"/>
  <c r="E11" i="3" s="1"/>
  <c r="B10" i="3"/>
  <c r="D10" i="3" s="1"/>
  <c r="E10" i="3" s="1"/>
  <c r="B8" i="3"/>
  <c r="D8" i="3" s="1"/>
  <c r="E8" i="3" s="1"/>
  <c r="B7" i="3"/>
  <c r="D7" i="3" s="1"/>
  <c r="E7" i="3" s="1"/>
  <c r="B6" i="3"/>
  <c r="D6" i="3" s="1"/>
  <c r="E6" i="3" s="1"/>
  <c r="B5" i="3"/>
  <c r="B2" i="3"/>
  <c r="D5" i="3" s="1"/>
  <c r="E5" i="3" s="1"/>
  <c r="B1" i="3"/>
  <c r="C10" i="2" l="1"/>
  <c r="N22" i="2"/>
  <c r="N23" i="2" s="1"/>
  <c r="P16" i="2"/>
  <c r="C20" i="2" l="1"/>
</calcChain>
</file>

<file path=xl/sharedStrings.xml><?xml version="1.0" encoding="utf-8"?>
<sst xmlns="http://schemas.openxmlformats.org/spreadsheetml/2006/main" count="41" uniqueCount="31">
  <si>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</si>
  <si>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</si>
  <si>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</si>
  <si>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</si>
  <si>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Ω</t>
    <phoneticPr fontId="1" type="noConversion"/>
  </si>
  <si>
    <t>kΩ</t>
    <phoneticPr fontId="1" type="noConversion"/>
  </si>
  <si>
    <t>Ibase</t>
    <phoneticPr fontId="1" type="noConversion"/>
  </si>
  <si>
    <t>Shunt</t>
    <phoneticPr fontId="1" type="noConversion"/>
  </si>
  <si>
    <t>V</t>
    <phoneticPr fontId="1" type="noConversion"/>
  </si>
  <si>
    <t>A</t>
    <phoneticPr fontId="1" type="noConversion"/>
  </si>
  <si>
    <t>Vin(Shunt Voltage)</t>
    <phoneticPr fontId="1" type="noConversion"/>
  </si>
  <si>
    <t>V_ref</t>
    <phoneticPr fontId="1" type="noConversion"/>
  </si>
  <si>
    <t>Offset Voltage</t>
    <phoneticPr fontId="1" type="noConversion"/>
  </si>
  <si>
    <t>Op-amp Gain</t>
    <phoneticPr fontId="1" type="noConversion"/>
  </si>
  <si>
    <t>2.5V_ref</t>
    <phoneticPr fontId="1" type="noConversion"/>
  </si>
  <si>
    <t>Vdc_ref</t>
    <phoneticPr fontId="1" type="noConversion"/>
  </si>
  <si>
    <t>V</t>
    <phoneticPr fontId="1" type="noConversion"/>
  </si>
  <si>
    <t>R1</t>
    <phoneticPr fontId="1" type="noConversion"/>
  </si>
  <si>
    <t>R2</t>
    <phoneticPr fontId="1" type="noConversion"/>
  </si>
  <si>
    <t>KΩ</t>
    <phoneticPr fontId="1" type="noConversion"/>
  </si>
  <si>
    <t>ADC_Vdc</t>
    <phoneticPr fontId="1" type="noConversion"/>
  </si>
  <si>
    <t>Maxmum_ADC_Voltage</t>
    <phoneticPr fontId="1" type="noConversion"/>
  </si>
  <si>
    <t>I SensorScale Q7</t>
    <phoneticPr fontId="1" type="noConversion"/>
  </si>
  <si>
    <t>V SensorScale Q8</t>
    <phoneticPr fontId="1" type="noConversion"/>
  </si>
  <si>
    <t>Vout(DC_ADC)</t>
    <phoneticPr fontId="1" type="noConversion"/>
  </si>
  <si>
    <t>ADC</t>
    <phoneticPr fontId="1" type="noConversion"/>
  </si>
  <si>
    <t>AC
[V]</t>
    <phoneticPr fontId="1" type="noConversion"/>
  </si>
  <si>
    <t>DC
[V]</t>
    <phoneticPr fontId="1" type="noConversion"/>
  </si>
  <si>
    <t>ADC_IN
[V]</t>
    <phoneticPr fontId="1" type="noConversion"/>
  </si>
  <si>
    <t>최대 5V</t>
    <phoneticPr fontId="1" type="noConversion"/>
  </si>
  <si>
    <t>Shunt_ADC_Offset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</si>
</sst>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0000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</font>
    <font>
      <i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2" fontId="0" fillId="0" borderId="0" xfId="0" applyNumberFormat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2" fontId="2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2" fontId="2" fillId="3" borderId="1" xfId="0" applyNumberFormat="1" applyFont="1" applyFill="1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0" fontId="2" fillId="4" borderId="1" xfId="0" applyFont="1" applyFill="1" applyBorder="1">
      <alignment vertical="center"/>
    </xf>
    <xf numFmtId="1" fontId="6" fillId="0" borderId="1" xfId="0" applyNumberFormat="1" applyFont="1" applyBorder="1">
      <alignment vertical="center"/>
    </xf>
    <xf numFmtId="0" fontId="5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177" fontId="5" fillId="3" borderId="1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8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7" fillId="5" borderId="1" xfId="0" applyFont="1" applyFill="1" applyBorder="1">
      <alignment vertical="center"/>
    </xf>
    <xf numFmtId="0" fontId="6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479607</xdr:colOff>
      <xdr:row>1</xdr:row>
      <xdr:rowOff>134472</xdr:rowOff>
    </xdr:from>
    <xdr:to>
      <xdr:col>12</xdr:col>
      <xdr:colOff>430159</xdr:colOff>
      <xdr:row>13</xdr:row>
      <xdr:rowOff>195945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94382" y="344022"/>
          <a:ext cx="6637102" cy="3052323"/>
          <a:chOff x="9492977" y="678756"/>
          <a:chExt cx="7085965" cy="4262719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9492977" y="678756"/>
            <a:ext cx="7085965" cy="4262719"/>
            <a:chOff x="9569177" y="700527"/>
            <a:chExt cx="7085965" cy="3119719"/>
          </a:xfrm>
        </xdr:grpSpPr>
        <xdr:grpSp>
          <xdr:nvGrpSpPr>
            <xdr:cNvPr id="6" name="그룹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9569177" y="700527"/>
              <a:ext cx="7085965" cy="3119719"/>
              <a:chOff x="2798265" y="569898"/>
              <a:chExt cx="5805276" cy="2466576"/>
            </a:xfrm>
          </xdr:grpSpPr>
          <xdr:pic>
            <xdr:nvPicPr>
              <xdr:cNvPr id="9" name="그림 8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2798265" y="569898"/>
                <a:ext cx="5805276" cy="2466576"/>
              </a:xfrm>
              <a:prstGeom prst="rect">
                <a:avLst/>
              </a:prstGeom>
            </xdr:spPr>
          </xdr:pic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 txBox="1"/>
            </xdr:nvSpPr>
            <xdr:spPr>
              <a:xfrm>
                <a:off x="4515651" y="1550894"/>
                <a:ext cx="594232" cy="2446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R1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1" name="TextBox 10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 txBox="1"/>
            </xdr:nvSpPr>
            <xdr:spPr>
              <a:xfrm>
                <a:off x="5271247" y="1142359"/>
                <a:ext cx="594232" cy="2446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R2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/>
            </xdr:nvSpPr>
            <xdr:spPr>
              <a:xfrm>
                <a:off x="4452898" y="2248861"/>
                <a:ext cx="594232" cy="24460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R3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/>
            </xdr:nvSpPr>
            <xdr:spPr>
              <a:xfrm>
                <a:off x="5623432" y="2764970"/>
                <a:ext cx="594234" cy="24461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altLang="ko-KR" sz="1400" b="1">
                    <a:solidFill>
                      <a:srgbClr val="0070C0"/>
                    </a:solidFill>
                  </a:rPr>
                  <a:t>R4</a:t>
                </a:r>
                <a:endParaRPr lang="ko-KR" altLang="en-US" sz="1400" b="1">
                  <a:solidFill>
                    <a:srgbClr val="0070C0"/>
                  </a:solidFill>
                </a:endParaRPr>
              </a:p>
            </xdr:txBody>
          </xdr:sp>
        </xdr:grp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4162313" y="2242457"/>
              <a:ext cx="725324" cy="3093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400" b="1"/>
                <a:t>100</a:t>
              </a:r>
              <a:r>
                <a:rPr lang="el-GR" altLang="ko-KR" sz="1400" b="1"/>
                <a:t>Ω</a:t>
              </a:r>
              <a:endParaRPr lang="ko-KR" altLang="en-US" sz="1400" b="1"/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4913428" y="2950029"/>
              <a:ext cx="725324" cy="3093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400" b="1"/>
                <a:t>1nF</a:t>
              </a:r>
              <a:endParaRPr lang="ko-KR" altLang="en-US" sz="1400" b="1"/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9527844" y="2274093"/>
            <a:ext cx="2032589" cy="50463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Shunt</a:t>
            </a:r>
            <a:r>
              <a:rPr lang="en-US" altLang="ko-KR" sz="1800" b="1" baseline="0"/>
              <a:t> Voltage</a:t>
            </a:r>
            <a:endParaRPr lang="ko-KR" altLang="en-US" sz="1800" b="1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2498942" y="716921"/>
            <a:ext cx="1002056" cy="50463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V_ref</a:t>
            </a:r>
            <a:endParaRPr lang="ko-KR" altLang="en-US" sz="1800" b="1"/>
          </a:p>
        </xdr:txBody>
      </xdr:sp>
    </xdr:grpSp>
    <xdr:clientData/>
  </xdr:twoCellAnchor>
  <xdr:twoCellAnchor editAs="oneCell">
    <xdr:from>
      <xdr:col>13</xdr:col>
      <xdr:colOff>163286</xdr:colOff>
      <xdr:row>3</xdr:row>
      <xdr:rowOff>185058</xdr:rowOff>
    </xdr:from>
    <xdr:to>
      <xdr:col>18</xdr:col>
      <xdr:colOff>655557</xdr:colOff>
      <xdr:row>13</xdr:row>
      <xdr:rowOff>95251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7081" y="872763"/>
          <a:ext cx="3921271" cy="2434318"/>
        </a:xfrm>
        <a:prstGeom prst="rect">
          <a:avLst/>
        </a:prstGeom>
      </xdr:spPr>
    </xdr:pic>
    <xdr:clientData/>
  </xdr:twoCellAnchor>
  <xdr:twoCellAnchor>
    <xdr:from>
      <xdr:col>6</xdr:col>
      <xdr:colOff>302501</xdr:colOff>
      <xdr:row>15</xdr:row>
      <xdr:rowOff>119988</xdr:rowOff>
    </xdr:from>
    <xdr:to>
      <xdr:col>15</xdr:col>
      <xdr:colOff>354844</xdr:colOff>
      <xdr:row>24</xdr:row>
      <xdr:rowOff>185057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5931776" y="3834738"/>
          <a:ext cx="7081793" cy="2046269"/>
          <a:chOff x="2642930" y="5573734"/>
          <a:chExt cx="6244267" cy="2092693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 txBox="1"/>
            </xdr:nvSpPr>
            <xdr:spPr>
              <a:xfrm>
                <a:off x="2642930" y="5573734"/>
                <a:ext cx="6244267" cy="81148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m:rPr>
                          <m:sty m:val="p"/>
                        </m:rPr>
                        <a:rPr lang="en-US" altLang="ko-KR" sz="2400" i="1">
                          <a:latin typeface="Cambria Math" panose="02040503050406030204" pitchFamily="18" charset="0"/>
                        </a:rPr>
                        <m:t>V</m:t>
                      </m:r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𝑜𝑢𝑡</m:t>
                      </m:r>
                      <m:r>
                        <a:rPr lang="en-US" altLang="ko-KR" sz="2400" i="1">
                          <a:latin typeface="Cambria Math" panose="02040503050406030204" pitchFamily="18" charset="0"/>
                        </a:rPr>
                        <m:t>=</m:t>
                      </m:r>
                      <m:d>
                        <m:dPr>
                          <m:ctrlPr>
                            <a:rPr lang="en-US" altLang="ko-KR" sz="24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2(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3+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4)</m:t>
                              </m:r>
                            </m:num>
                            <m:den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3(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1+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𝑅</m:t>
                              </m:r>
                              <m:r>
                                <a:rPr lang="en-US" altLang="ko-KR" sz="2400" b="0" i="1">
                                  <a:latin typeface="Cambria Math" panose="02040503050406030204" pitchFamily="18" charset="0"/>
                                </a:rPr>
                                <m:t>2)</m:t>
                              </m:r>
                            </m:den>
                          </m:f>
                        </m:e>
                      </m:d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𝑉𝑖𝑛</m:t>
                      </m:r>
                      <m:r>
                        <a:rPr lang="en-US" altLang="ko-KR" sz="2400" b="0" i="1">
                          <a:latin typeface="Cambria Math" panose="02040503050406030204" pitchFamily="18" charset="0"/>
                        </a:rPr>
                        <m:t>+</m:t>
                      </m:r>
                      <m:d>
                        <m:dPr>
                          <m:ctrlP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1(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3+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4)</m:t>
                              </m:r>
                            </m:num>
                            <m:den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3(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1+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𝑅</m:t>
                              </m:r>
                              <m:r>
                                <a:rPr kumimoji="0" lang="en-US" altLang="ko-KR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cs typeface="+mn-cs"/>
                                </a:rPr>
                                <m:t>2)</m:t>
                              </m:r>
                            </m:den>
                          </m:f>
                        </m:e>
                      </m:d>
                      <m:r>
                        <a:rPr kumimoji="0" lang="en-US" altLang="ko-KR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cs typeface="+mn-cs"/>
                        </a:rPr>
                        <m:t>∗</m:t>
                      </m:r>
                      <m:sSub>
                        <m:sSubPr>
                          <m:ctrlP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</m:ctrlPr>
                        </m:sSubPr>
                        <m:e>
                          <m: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a:rPr kumimoji="0" lang="en-US" altLang="ko-KR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cs typeface="+mn-cs"/>
                            </a:rPr>
                            <m:t>𝑟𝑒𝑓</m:t>
                          </m:r>
                        </m:sub>
                      </m:sSub>
                    </m:oMath>
                  </m:oMathPara>
                </a14:m>
                <a:endParaRPr lang="ko-KR" altLang="en-US" sz="2400"/>
              </a:p>
            </xdr:txBody>
          </xdr:sp>
        </mc:Choice>
        <mc:Fallback xmlns="">
          <xdr:sp macro="" textlink="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id="{4E445A4B-FDA2-455A-86AE-605796E529CD}"/>
                  </a:ext>
                </a:extLst>
              </xdr:cNvPr>
              <xdr:cNvSpPr txBox="1"/>
            </xdr:nvSpPr>
            <xdr:spPr>
              <a:xfrm>
                <a:off x="2642930" y="5573734"/>
                <a:ext cx="6244267" cy="81148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en-US" altLang="ko-KR" sz="2400" i="0">
                    <a:latin typeface="Cambria Math" panose="02040503050406030204" pitchFamily="18" charset="0"/>
                  </a:rPr>
                  <a:t>V</a:t>
                </a:r>
                <a:r>
                  <a:rPr lang="en-US" altLang="ko-KR" sz="2400" b="0" i="0">
                    <a:latin typeface="Cambria Math" panose="02040503050406030204" pitchFamily="18" charset="0"/>
                  </a:rPr>
                  <a:t>𝑜𝑢𝑡</a:t>
                </a:r>
                <a:r>
                  <a:rPr lang="en-US" altLang="ko-KR" sz="2400" i="0">
                    <a:latin typeface="Cambria Math" panose="02040503050406030204" pitchFamily="18" charset="0"/>
                  </a:rPr>
                  <a:t>=</a:t>
                </a:r>
                <a:r>
                  <a:rPr lang="en-US" altLang="ko-KR" sz="2400" b="0" i="0">
                    <a:latin typeface="Cambria Math" panose="02040503050406030204" pitchFamily="18" charset="0"/>
                  </a:rPr>
                  <a:t>((𝑅2(𝑅3+𝑅4))/(𝑅3(𝑅1+𝑅2)))𝑉𝑖𝑛+</a:t>
                </a:r>
                <a:r>
                  <a:rPr kumimoji="0" lang="en-US" altLang="ko-KR" sz="2400" b="0" i="0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Cambria Math" panose="02040503050406030204" pitchFamily="18" charset="0"/>
                    <a:cs typeface="+mn-cs"/>
                  </a:rPr>
                  <a:t>((𝑅1(𝑅3+𝑅4))/(𝑅3(𝑅1+𝑅2)))∗𝑉_𝑟𝑒𝑓</a:t>
                </a:r>
                <a:endParaRPr lang="ko-KR" altLang="en-US" sz="2400"/>
              </a:p>
            </xdr:txBody>
          </xdr:sp>
        </mc:Fallback>
      </mc:AlternateContent>
      <xdr:sp macro="" textlink="">
        <xdr:nvSpPr>
          <xdr:cNvPr id="17" name="오른쪽 중괄호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 rot="5400000">
            <a:off x="4344931" y="5989772"/>
            <a:ext cx="437145" cy="1758241"/>
          </a:xfrm>
          <a:prstGeom prst="rightBrace">
            <a:avLst>
              <a:gd name="adj1" fmla="val 51190"/>
              <a:gd name="adj2" fmla="val 50000"/>
            </a:avLst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" name="오른쪽 중괄호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 rot="5400000">
            <a:off x="7327143" y="5660734"/>
            <a:ext cx="437145" cy="2438225"/>
          </a:xfrm>
          <a:prstGeom prst="rightBrace">
            <a:avLst>
              <a:gd name="adj1" fmla="val 51190"/>
              <a:gd name="adj2" fmla="val 50000"/>
            </a:avLst>
          </a:prstGeom>
          <a:ln w="38100">
            <a:solidFill>
              <a:schemeClr val="accent5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3947959" y="7249884"/>
            <a:ext cx="1861456" cy="3701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Op-amp Gain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6749057" y="7271722"/>
            <a:ext cx="1636923" cy="3947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1800" b="1"/>
              <a:t>offset Voltage</a:t>
            </a:r>
            <a:endParaRPr lang="ko-KR" altLang="en-US" sz="1800" b="1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190500</xdr:rowOff>
        </xdr:from>
        <xdr:to>
          <xdr:col>5</xdr:col>
          <xdr:colOff>638175</xdr:colOff>
          <xdr:row>24</xdr:row>
          <xdr:rowOff>9525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567145</xdr:colOff>
      <xdr:row>3</xdr:row>
      <xdr:rowOff>151310</xdr:rowOff>
    </xdr:from>
    <xdr:to>
      <xdr:col>10</xdr:col>
      <xdr:colOff>299188</xdr:colOff>
      <xdr:row>13</xdr:row>
      <xdr:rowOff>200526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2145" y="804453"/>
          <a:ext cx="3106614" cy="266178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</xdr:row>
          <xdr:rowOff>28575</xdr:rowOff>
        </xdr:from>
        <xdr:to>
          <xdr:col>4</xdr:col>
          <xdr:colOff>1238250</xdr:colOff>
          <xdr:row>16</xdr:row>
          <xdr:rowOff>238125</xdr:rowOff>
        </xdr:to>
        <xdr:sp macro="" textlink="">
          <xdr:nvSpPr>
            <xdr:cNvPr id="2092" name="Object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AEC7-82C1-45BE-B8F2-9BF5392788BD}">
  <dimension ref="A3:E29"/>
  <sheetViews>
    <sheetView tabSelected="1" zoomScaleNormal="100" workbookViewId="0">
      <selection activeCell="C7" sqref="C7"/>
    </sheetView>
  </sheetViews>
  <sheetFormatPr defaultRowHeight="16.5" x14ac:dyDescent="0.3"/>
  <cols>
    <col min="2" max="2" width="23.125" bestFit="1" customWidth="1"/>
    <col min="3" max="3" width="14.5" bestFit="1" customWidth="1"/>
    <col min="4" max="4" width="4.75" bestFit="1" customWidth="1"/>
    <col min="5" max="5" width="11.25" bestFit="1" customWidth="1"/>
    <col min="6" max="11" width="11.25" customWidth="1"/>
  </cols>
  <sheetData>
    <row r="3" spans="1:5" ht="20.25" x14ac:dyDescent="0.3">
      <c r="C3" s="1"/>
      <c r="D3" s="1"/>
    </row>
    <row r="4" spans="1:5" ht="20.25" x14ac:dyDescent="0.3">
      <c r="B4" s="1"/>
      <c r="C4" s="1"/>
      <c r="D4" s="1"/>
    </row>
    <row r="5" spans="1:5" ht="20.25" x14ac:dyDescent="0.3">
      <c r="B5" s="4" t="s">
        <v>6</v>
      </c>
      <c r="C5" s="5">
        <v>5</v>
      </c>
      <c r="D5" s="4" t="s">
        <v>9</v>
      </c>
    </row>
    <row r="6" spans="1:5" ht="20.25" x14ac:dyDescent="0.3">
      <c r="A6" s="1"/>
      <c r="B6" s="4" t="s">
        <v>7</v>
      </c>
      <c r="C6" s="5">
        <v>0.08</v>
      </c>
      <c r="D6" s="6" t="s">
        <v>4</v>
      </c>
    </row>
    <row r="7" spans="1:5" ht="20.25" x14ac:dyDescent="0.3">
      <c r="B7" s="7" t="s">
        <v>10</v>
      </c>
      <c r="C7" s="8">
        <f>C5*C6</f>
        <v>0.4</v>
      </c>
      <c r="D7" s="6" t="s">
        <v>8</v>
      </c>
    </row>
    <row r="8" spans="1:5" ht="20.25" x14ac:dyDescent="0.3">
      <c r="B8" s="4" t="s">
        <v>0</v>
      </c>
      <c r="C8" s="9">
        <v>3</v>
      </c>
      <c r="D8" s="6" t="s">
        <v>5</v>
      </c>
    </row>
    <row r="9" spans="1:5" ht="20.25" x14ac:dyDescent="0.3">
      <c r="B9" s="4" t="s">
        <v>1</v>
      </c>
      <c r="C9" s="9">
        <v>33</v>
      </c>
      <c r="D9" s="6" t="s">
        <v>5</v>
      </c>
    </row>
    <row r="10" spans="1:5" ht="20.25" x14ac:dyDescent="0.3">
      <c r="B10" s="4" t="s">
        <v>2</v>
      </c>
      <c r="C10" s="9">
        <v>3</v>
      </c>
      <c r="D10" s="6" t="s">
        <v>5</v>
      </c>
    </row>
    <row r="11" spans="1:5" ht="20.25" x14ac:dyDescent="0.3">
      <c r="B11" s="4" t="s">
        <v>3</v>
      </c>
      <c r="C11" s="9">
        <v>15</v>
      </c>
      <c r="D11" s="6" t="s">
        <v>5</v>
      </c>
    </row>
    <row r="12" spans="1:5" x14ac:dyDescent="0.3">
      <c r="B12" s="10"/>
      <c r="C12" s="11"/>
      <c r="D12" s="10"/>
    </row>
    <row r="13" spans="1:5" ht="20.25" x14ac:dyDescent="0.3">
      <c r="B13" s="4" t="s">
        <v>11</v>
      </c>
      <c r="C13" s="5">
        <v>5</v>
      </c>
      <c r="D13" s="4" t="s">
        <v>8</v>
      </c>
      <c r="E13" s="1"/>
    </row>
    <row r="14" spans="1:5" ht="20.25" x14ac:dyDescent="0.3">
      <c r="B14" s="4"/>
      <c r="C14" s="5"/>
      <c r="D14" s="4"/>
      <c r="E14" s="1"/>
    </row>
    <row r="15" spans="1:5" ht="20.25" x14ac:dyDescent="0.3">
      <c r="B15" s="4" t="s">
        <v>13</v>
      </c>
      <c r="C15" s="19">
        <f>((C9*(C10+C11))/(C10*(C8+C9)))</f>
        <v>5.5</v>
      </c>
      <c r="D15" s="4"/>
      <c r="E15" s="1"/>
    </row>
    <row r="16" spans="1:5" ht="20.25" x14ac:dyDescent="0.3">
      <c r="B16" s="4" t="s">
        <v>12</v>
      </c>
      <c r="C16" s="20">
        <f>((C8*(C10+C11))/(C10*(C8+C9)))*C13</f>
        <v>2.5</v>
      </c>
      <c r="D16" s="4" t="s">
        <v>8</v>
      </c>
      <c r="E16" s="3" t="s">
        <v>14</v>
      </c>
    </row>
    <row r="17" spans="2:5" ht="20.25" x14ac:dyDescent="0.3">
      <c r="B17" s="7" t="s">
        <v>24</v>
      </c>
      <c r="C17" s="8">
        <f>(C15*C7)+C16</f>
        <v>4.7</v>
      </c>
      <c r="D17" s="4" t="s">
        <v>8</v>
      </c>
      <c r="E17" s="3" t="s">
        <v>29</v>
      </c>
    </row>
    <row r="18" spans="2:5" x14ac:dyDescent="0.3">
      <c r="C18" s="2"/>
    </row>
    <row r="19" spans="2:5" x14ac:dyDescent="0.3">
      <c r="C19" s="2"/>
    </row>
    <row r="20" spans="2:5" x14ac:dyDescent="0.3">
      <c r="C20" s="2"/>
    </row>
    <row r="21" spans="2:5" x14ac:dyDescent="0.3">
      <c r="C21" s="2"/>
    </row>
    <row r="26" spans="2:5" ht="20.25" x14ac:dyDescent="0.3">
      <c r="B26" s="12" t="s">
        <v>22</v>
      </c>
      <c r="C26" s="13">
        <f>(16384/((C15*C7)*4095/5))*128</f>
        <v>1163.9205239205239</v>
      </c>
    </row>
    <row r="29" spans="2:5" ht="20.25" x14ac:dyDescent="0.3">
      <c r="B29" s="21" t="s">
        <v>30</v>
      </c>
      <c r="C29" s="22">
        <f>C16/5*4095</f>
        <v>2047.5</v>
      </c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3073" r:id="rId3">
          <objectPr defaultSize="0" autoPict="0" r:id="rId4">
            <anchor moveWithCells="1">
              <from>
                <xdr:col>1</xdr:col>
                <xdr:colOff>9525</xdr:colOff>
                <xdr:row>17</xdr:row>
                <xdr:rowOff>190500</xdr:rowOff>
              </from>
              <to>
                <xdr:col>5</xdr:col>
                <xdr:colOff>638175</xdr:colOff>
                <xdr:row>24</xdr:row>
                <xdr:rowOff>9525</xdr:rowOff>
              </to>
            </anchor>
          </objectPr>
        </oleObject>
      </mc:Choice>
      <mc:Fallback>
        <oleObject progId="Equation.DSMT4" shapeId="3073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P23"/>
  <sheetViews>
    <sheetView zoomScaleNormal="100" workbookViewId="0">
      <selection activeCell="C7" sqref="C7"/>
    </sheetView>
  </sheetViews>
  <sheetFormatPr defaultRowHeight="16.5" x14ac:dyDescent="0.3"/>
  <cols>
    <col min="2" max="2" width="22" bestFit="1" customWidth="1"/>
    <col min="3" max="3" width="14.125" bestFit="1" customWidth="1"/>
    <col min="5" max="5" width="21.25" bestFit="1" customWidth="1"/>
  </cols>
  <sheetData>
    <row r="6" spans="2:16" ht="20.25" x14ac:dyDescent="0.3">
      <c r="B6" s="7" t="s">
        <v>15</v>
      </c>
      <c r="C6" s="15">
        <v>330</v>
      </c>
      <c r="D6" s="4" t="s">
        <v>16</v>
      </c>
      <c r="E6" s="1"/>
    </row>
    <row r="7" spans="2:16" ht="20.25" x14ac:dyDescent="0.3">
      <c r="B7" s="4" t="s">
        <v>17</v>
      </c>
      <c r="C7" s="14">
        <v>400</v>
      </c>
      <c r="D7" s="4" t="s">
        <v>19</v>
      </c>
      <c r="E7" s="1"/>
    </row>
    <row r="8" spans="2:16" ht="20.25" x14ac:dyDescent="0.3">
      <c r="B8" s="4" t="s">
        <v>18</v>
      </c>
      <c r="C8" s="14">
        <v>4.7</v>
      </c>
      <c r="D8" s="4" t="s">
        <v>19</v>
      </c>
      <c r="E8" s="1"/>
    </row>
    <row r="9" spans="2:16" ht="20.25" x14ac:dyDescent="0.3">
      <c r="B9" s="4"/>
      <c r="C9" s="4"/>
      <c r="D9" s="4"/>
      <c r="E9" s="1"/>
    </row>
    <row r="10" spans="2:16" ht="20.25" x14ac:dyDescent="0.3">
      <c r="B10" s="7" t="s">
        <v>20</v>
      </c>
      <c r="C10" s="16">
        <f>C6*(C8/(C7+C8))</f>
        <v>3.8324684951816161</v>
      </c>
      <c r="D10" s="4" t="s">
        <v>16</v>
      </c>
      <c r="E10" s="1" t="s">
        <v>21</v>
      </c>
    </row>
    <row r="11" spans="2:16" ht="20.25" x14ac:dyDescent="0.3">
      <c r="B11" s="1"/>
      <c r="C11" s="1"/>
      <c r="D11" s="1"/>
      <c r="E11" s="1"/>
    </row>
    <row r="12" spans="2:16" ht="20.25" x14ac:dyDescent="0.3">
      <c r="B12" s="1"/>
      <c r="C12" s="1"/>
      <c r="D12" s="1"/>
      <c r="E12" s="1"/>
    </row>
    <row r="13" spans="2:16" ht="20.25" x14ac:dyDescent="0.3">
      <c r="B13" s="1"/>
      <c r="C13" s="1"/>
      <c r="D13" s="1"/>
      <c r="E13" s="1"/>
    </row>
    <row r="14" spans="2:16" ht="20.25" x14ac:dyDescent="0.3">
      <c r="B14" s="1"/>
      <c r="C14" s="1"/>
      <c r="D14" s="1"/>
      <c r="E14" s="1"/>
    </row>
    <row r="15" spans="2:16" ht="20.25" x14ac:dyDescent="0.3">
      <c r="B15" s="1"/>
      <c r="C15" s="1"/>
      <c r="D15" s="1"/>
      <c r="E15" s="1"/>
    </row>
    <row r="16" spans="2:16" ht="20.25" x14ac:dyDescent="0.3">
      <c r="B16" s="1"/>
      <c r="C16" s="1"/>
      <c r="D16" s="1"/>
      <c r="E16" s="1"/>
      <c r="P16">
        <f>5*2898/4095</f>
        <v>3.5384615384615383</v>
      </c>
    </row>
    <row r="17" spans="2:14" ht="20.25" x14ac:dyDescent="0.3">
      <c r="B17" s="1"/>
      <c r="C17" s="1"/>
      <c r="D17" s="1"/>
      <c r="E17" s="1"/>
    </row>
    <row r="18" spans="2:14" ht="20.25" x14ac:dyDescent="0.3">
      <c r="B18" s="1"/>
      <c r="C18" s="1"/>
      <c r="D18" s="1"/>
      <c r="E18" s="1"/>
    </row>
    <row r="19" spans="2:14" ht="20.25" x14ac:dyDescent="0.3">
      <c r="B19" s="1"/>
      <c r="C19" s="1"/>
      <c r="D19" s="1"/>
      <c r="E19" s="1"/>
    </row>
    <row r="20" spans="2:14" ht="20.25" x14ac:dyDescent="0.3">
      <c r="B20" s="12" t="s">
        <v>23</v>
      </c>
      <c r="C20" s="13">
        <f>16384*2^8/(C10*4095/5)</f>
        <v>1336.279818526627</v>
      </c>
      <c r="D20" s="1"/>
      <c r="E20" s="1"/>
      <c r="N20">
        <v>2899</v>
      </c>
    </row>
    <row r="22" spans="2:14" x14ac:dyDescent="0.3">
      <c r="N22">
        <f>16384/N20</f>
        <v>5.6516040013797859</v>
      </c>
    </row>
    <row r="23" spans="2:14" x14ac:dyDescent="0.3">
      <c r="N23">
        <f>N22*256</f>
        <v>1446.8106243532252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2092" r:id="rId4">
          <objectPr defaultSize="0" r:id="rId5">
            <anchor moveWithCells="1">
              <from>
                <xdr:col>1</xdr:col>
                <xdr:colOff>19050</xdr:colOff>
                <xdr:row>12</xdr:row>
                <xdr:rowOff>28575</xdr:rowOff>
              </from>
              <to>
                <xdr:col>4</xdr:col>
                <xdr:colOff>1238250</xdr:colOff>
                <xdr:row>16</xdr:row>
                <xdr:rowOff>238125</xdr:rowOff>
              </to>
            </anchor>
          </objectPr>
        </oleObject>
      </mc:Choice>
      <mc:Fallback>
        <oleObject progId="Equation.DSMT4" shapeId="2092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56C5-5B54-4452-9C0C-B07D77098608}">
  <dimension ref="A1:E12"/>
  <sheetViews>
    <sheetView workbookViewId="0">
      <selection activeCell="A7" sqref="A7"/>
    </sheetView>
  </sheetViews>
  <sheetFormatPr defaultRowHeight="16.5" x14ac:dyDescent="0.3"/>
  <sheetData>
    <row r="1" spans="1:5" x14ac:dyDescent="0.3">
      <c r="A1" s="17" t="s">
        <v>0</v>
      </c>
      <c r="B1">
        <f>V_scale!C7</f>
        <v>400</v>
      </c>
    </row>
    <row r="2" spans="1:5" x14ac:dyDescent="0.3">
      <c r="A2" s="17" t="s">
        <v>1</v>
      </c>
      <c r="B2">
        <f>V_scale!C8</f>
        <v>4.7</v>
      </c>
    </row>
    <row r="3" spans="1:5" x14ac:dyDescent="0.3">
      <c r="A3" s="17"/>
    </row>
    <row r="4" spans="1:5" ht="33" x14ac:dyDescent="0.3">
      <c r="A4" s="18" t="s">
        <v>26</v>
      </c>
      <c r="B4" s="18" t="s">
        <v>27</v>
      </c>
      <c r="D4" s="18" t="s">
        <v>28</v>
      </c>
      <c r="E4" s="18" t="s">
        <v>25</v>
      </c>
    </row>
    <row r="5" spans="1:5" x14ac:dyDescent="0.3">
      <c r="A5">
        <v>220</v>
      </c>
      <c r="B5">
        <f>INT(A5 * POWER(2, 0.5))</f>
        <v>311</v>
      </c>
      <c r="D5">
        <f>$B$2 / ($B$1 + $B$2) * B5</f>
        <v>3.6118112181863111</v>
      </c>
      <c r="E5">
        <f>INT(D5 / 5 * 4095)</f>
        <v>2958</v>
      </c>
    </row>
    <row r="6" spans="1:5" x14ac:dyDescent="0.3">
      <c r="A6">
        <v>190</v>
      </c>
      <c r="B6">
        <f>INT(A6 * POWER(2, 0.5))</f>
        <v>268</v>
      </c>
      <c r="D6">
        <f>$B$2 / ($B$1 + $B$2) * B6</f>
        <v>3.112428959723252</v>
      </c>
      <c r="E6">
        <f>INT(D6 / 5 * 4095)</f>
        <v>2549</v>
      </c>
    </row>
    <row r="7" spans="1:5" x14ac:dyDescent="0.3">
      <c r="A7">
        <v>165</v>
      </c>
      <c r="B7">
        <f>INT(A7 * POWER(2, 0.5))</f>
        <v>233</v>
      </c>
      <c r="D7">
        <f>$B$2 / ($B$1 + $B$2) * B7</f>
        <v>2.7059550284161111</v>
      </c>
      <c r="E7">
        <f>INT(D7 / 5 * 4095)</f>
        <v>2216</v>
      </c>
    </row>
    <row r="8" spans="1:5" x14ac:dyDescent="0.3">
      <c r="A8">
        <v>115</v>
      </c>
      <c r="B8">
        <f>INT(A8 * POWER(2, 0.5))</f>
        <v>162</v>
      </c>
      <c r="D8">
        <f>$B$2 / ($B$1 + $B$2) * B8</f>
        <v>1.8813936249073389</v>
      </c>
      <c r="E8">
        <f>INT(D8 / 5 * 4095)</f>
        <v>1540</v>
      </c>
    </row>
    <row r="10" spans="1:5" x14ac:dyDescent="0.3">
      <c r="A10">
        <v>290</v>
      </c>
      <c r="B10">
        <f>INT(A10 * POWER(2, 0.5))</f>
        <v>410</v>
      </c>
      <c r="D10">
        <f>$B$2 / ($B$1 + $B$2) * B10</f>
        <v>4.7615517667407961</v>
      </c>
      <c r="E10">
        <f>INT(D10 / 5 * 4095)</f>
        <v>3899</v>
      </c>
    </row>
    <row r="11" spans="1:5" x14ac:dyDescent="0.3">
      <c r="A11">
        <v>275</v>
      </c>
      <c r="B11">
        <f>INT(A11 * POWER(2, 0.5))</f>
        <v>388</v>
      </c>
      <c r="D11">
        <f>$B$2 / ($B$1 + $B$2) * B11</f>
        <v>4.5060538670620218</v>
      </c>
      <c r="E11">
        <f>INT(D11 / 5 * 4095)</f>
        <v>3690</v>
      </c>
    </row>
    <row r="12" spans="1:5" x14ac:dyDescent="0.3">
      <c r="A12">
        <v>243</v>
      </c>
      <c r="B12">
        <f>INT(A12 * POWER(2, 0.5))</f>
        <v>343</v>
      </c>
      <c r="D12">
        <f>$B$2 / ($B$1 + $B$2) * B12</f>
        <v>3.9834445268099832</v>
      </c>
      <c r="E12">
        <f>INT(D12 / 5 * 4095)</f>
        <v>3262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I_scale++</vt:lpstr>
      <vt:lpstr>V_scale</vt:lpstr>
      <vt:lpstr>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myunghyuk.jang</dc:creator>
  <cp:lastModifiedBy>홍원철</cp:lastModifiedBy>
  <dcterms:created xsi:type="dcterms:W3CDTF">2019-05-09T01:42:39Z</dcterms:created>
  <dcterms:modified xsi:type="dcterms:W3CDTF">2020-07-07T03:16:54Z</dcterms:modified>
</cp:coreProperties>
</file>