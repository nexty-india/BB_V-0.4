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nbeom.ryu\Documents\BizboxA\"/>
    </mc:Choice>
  </mc:AlternateContent>
  <xr:revisionPtr revIDLastSave="0" documentId="8_{E6D01849-6DA5-4BEB-BC78-54A72D6509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_scale_aFPB" sheetId="5" r:id="rId1"/>
    <sheet name="I_scale_웅진샘플" sheetId="4" r:id="rId2"/>
    <sheet name="I_scale" sheetId="1" r:id="rId3"/>
    <sheet name="V_scale_aFPB" sheetId="6" r:id="rId4"/>
    <sheet name="V_scale" sheetId="2" r:id="rId5"/>
    <sheet name="DC_Link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2" i="6" l="1"/>
  <c r="M12" i="6"/>
  <c r="O11" i="6"/>
  <c r="M11" i="6"/>
  <c r="O10" i="6"/>
  <c r="M10" i="6"/>
  <c r="C10" i="6"/>
  <c r="C20" i="6" s="1"/>
  <c r="O9" i="6"/>
  <c r="M9" i="6"/>
  <c r="C16" i="5"/>
  <c r="C15" i="5"/>
  <c r="C7" i="5"/>
  <c r="C26" i="5" l="1"/>
  <c r="C17" i="5"/>
  <c r="M12" i="2"/>
  <c r="M10" i="2"/>
  <c r="M11" i="2"/>
  <c r="M9" i="2"/>
  <c r="O9" i="2"/>
  <c r="O10" i="2"/>
  <c r="O11" i="2"/>
  <c r="O12" i="2"/>
  <c r="U19" i="4" l="1"/>
  <c r="C16" i="4"/>
  <c r="C15" i="4"/>
  <c r="C7" i="4"/>
  <c r="C17" i="4" l="1"/>
  <c r="C26" i="4"/>
  <c r="C5" i="3"/>
  <c r="C4" i="3"/>
  <c r="C14" i="3" l="1"/>
  <c r="C15" i="3"/>
  <c r="C16" i="3"/>
  <c r="C17" i="3"/>
  <c r="C6" i="3"/>
  <c r="C12" i="3" s="1"/>
  <c r="C7" i="3"/>
  <c r="C13" i="3" s="1"/>
  <c r="G27" i="2" l="1"/>
  <c r="C10" i="2" l="1"/>
  <c r="C7" i="1" l="1"/>
  <c r="C15" i="1"/>
  <c r="C16" i="1"/>
  <c r="C20" i="2" l="1"/>
  <c r="C17" i="1" l="1"/>
  <c r="C26" i="1"/>
</calcChain>
</file>

<file path=xl/sharedStrings.xml><?xml version="1.0" encoding="utf-8"?>
<sst xmlns="http://schemas.openxmlformats.org/spreadsheetml/2006/main" count="109" uniqueCount="35">
  <si>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</si>
  <si>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</si>
  <si>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</si>
  <si>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</si>
  <si>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Ω</t>
    <phoneticPr fontId="1" type="noConversion"/>
  </si>
  <si>
    <t>kΩ</t>
    <phoneticPr fontId="1" type="noConversion"/>
  </si>
  <si>
    <t>Ibase</t>
    <phoneticPr fontId="1" type="noConversion"/>
  </si>
  <si>
    <t>Shunt</t>
    <phoneticPr fontId="1" type="noConversion"/>
  </si>
  <si>
    <t>V</t>
    <phoneticPr fontId="1" type="noConversion"/>
  </si>
  <si>
    <t>A</t>
    <phoneticPr fontId="1" type="noConversion"/>
  </si>
  <si>
    <t>Vin(Shunt Voltage)</t>
    <phoneticPr fontId="1" type="noConversion"/>
  </si>
  <si>
    <t>V_ref</t>
    <phoneticPr fontId="1" type="noConversion"/>
  </si>
  <si>
    <t>V</t>
    <phoneticPr fontId="1" type="noConversion"/>
  </si>
  <si>
    <t>Offset Voltage</t>
    <phoneticPr fontId="1" type="noConversion"/>
  </si>
  <si>
    <t>Op-amp Gain</t>
    <phoneticPr fontId="1" type="noConversion"/>
  </si>
  <si>
    <t>2.5V_ref</t>
    <phoneticPr fontId="1" type="noConversion"/>
  </si>
  <si>
    <t>Vdc_ref</t>
    <phoneticPr fontId="1" type="noConversion"/>
  </si>
  <si>
    <t>V</t>
    <phoneticPr fontId="1" type="noConversion"/>
  </si>
  <si>
    <t>R1</t>
    <phoneticPr fontId="1" type="noConversion"/>
  </si>
  <si>
    <t>R2</t>
    <phoneticPr fontId="1" type="noConversion"/>
  </si>
  <si>
    <t>KΩ</t>
    <phoneticPr fontId="1" type="noConversion"/>
  </si>
  <si>
    <t>ADC_Vdc</t>
    <phoneticPr fontId="1" type="noConversion"/>
  </si>
  <si>
    <t>Maxmum_ADC_Voltage</t>
    <phoneticPr fontId="1" type="noConversion"/>
  </si>
  <si>
    <t>I SensorScale Q7</t>
    <phoneticPr fontId="1" type="noConversion"/>
  </si>
  <si>
    <t>V SensorScale Q8</t>
    <phoneticPr fontId="1" type="noConversion"/>
  </si>
  <si>
    <t>Vout(DC_ADC)</t>
    <phoneticPr fontId="1" type="noConversion"/>
  </si>
  <si>
    <t>ADC 최대전압 5V</t>
    <phoneticPr fontId="1" type="noConversion"/>
  </si>
  <si>
    <t>Code</t>
    <phoneticPr fontId="1" type="noConversion"/>
  </si>
  <si>
    <t>Over Voltage Off</t>
    <phoneticPr fontId="1" type="noConversion"/>
  </si>
  <si>
    <t>Under Voltage Off</t>
    <phoneticPr fontId="1" type="noConversion"/>
  </si>
  <si>
    <t>Under Voltage L0</t>
    <phoneticPr fontId="1" type="noConversion"/>
  </si>
  <si>
    <t>Over Voltage L1</t>
    <phoneticPr fontId="1" type="noConversion"/>
  </si>
  <si>
    <t>Over Voltage L0</t>
    <phoneticPr fontId="1" type="noConversion"/>
  </si>
  <si>
    <t>Under Voltage L1</t>
    <phoneticPr fontId="1" type="noConversion"/>
  </si>
  <si>
    <t>V (AC)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</si>
</sst>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</font>
    <font>
      <i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2" fontId="0" fillId="0" borderId="0" xfId="0" applyNumberFormat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2" fontId="2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2" fontId="2" fillId="3" borderId="1" xfId="0" applyNumberFormat="1" applyFont="1" applyFill="1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  <xf numFmtId="0" fontId="2" fillId="4" borderId="1" xfId="0" applyFont="1" applyFill="1" applyBorder="1">
      <alignment vertical="center"/>
    </xf>
    <xf numFmtId="1" fontId="6" fillId="0" borderId="1" xfId="0" applyNumberFormat="1" applyFont="1" applyBorder="1">
      <alignment vertical="center"/>
    </xf>
    <xf numFmtId="0" fontId="5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177" fontId="5" fillId="3" borderId="1" xfId="0" applyNumberFormat="1" applyFont="1" applyFill="1" applyBorder="1">
      <alignment vertical="center"/>
    </xf>
    <xf numFmtId="177" fontId="2" fillId="0" borderId="1" xfId="0" applyNumberFormat="1" applyFont="1" applyBorder="1">
      <alignment vertical="center"/>
    </xf>
    <xf numFmtId="177" fontId="2" fillId="3" borderId="1" xfId="0" applyNumberFormat="1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479607</xdr:colOff>
      <xdr:row>1</xdr:row>
      <xdr:rowOff>134472</xdr:rowOff>
    </xdr:from>
    <xdr:to>
      <xdr:col>12</xdr:col>
      <xdr:colOff>430159</xdr:colOff>
      <xdr:row>13</xdr:row>
      <xdr:rowOff>195945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653190" y="348376"/>
          <a:ext cx="6324410" cy="3224045"/>
          <a:chOff x="9492977" y="678756"/>
          <a:chExt cx="7085965" cy="4262719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9492977" y="678756"/>
            <a:ext cx="7085965" cy="4262719"/>
            <a:chOff x="9569177" y="700527"/>
            <a:chExt cx="7085965" cy="3119719"/>
          </a:xfrm>
        </xdr:grpSpPr>
        <xdr:grpSp>
          <xdr:nvGrpSpPr>
            <xdr:cNvPr id="6" name="그룹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9569177" y="700527"/>
              <a:ext cx="7085965" cy="3119719"/>
              <a:chOff x="2798265" y="569898"/>
              <a:chExt cx="5805276" cy="2466576"/>
            </a:xfrm>
          </xdr:grpSpPr>
          <xdr:pic>
            <xdr:nvPicPr>
              <xdr:cNvPr id="9" name="그림 8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2798265" y="569898"/>
                <a:ext cx="5805276" cy="2466576"/>
              </a:xfrm>
              <a:prstGeom prst="rect">
                <a:avLst/>
              </a:prstGeom>
            </xdr:spPr>
          </xdr:pic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 txBox="1"/>
            </xdr:nvSpPr>
            <xdr:spPr>
              <a:xfrm>
                <a:off x="4515651" y="1550894"/>
                <a:ext cx="594232" cy="2446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R1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1" name="TextBox 10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 txBox="1"/>
            </xdr:nvSpPr>
            <xdr:spPr>
              <a:xfrm>
                <a:off x="5271247" y="1142359"/>
                <a:ext cx="594232" cy="2446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R2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 txBox="1"/>
            </xdr:nvSpPr>
            <xdr:spPr>
              <a:xfrm>
                <a:off x="4452898" y="2248861"/>
                <a:ext cx="594232" cy="24460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R3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 txBox="1"/>
            </xdr:nvSpPr>
            <xdr:spPr>
              <a:xfrm>
                <a:off x="5623432" y="2764970"/>
                <a:ext cx="594234" cy="24461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R4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</xdr:grp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14162313" y="2242457"/>
              <a:ext cx="725324" cy="3093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400" b="1"/>
                <a:t>100</a:t>
              </a:r>
              <a:r>
                <a:rPr lang="el-GR" altLang="ko-KR" sz="1400" b="1"/>
                <a:t>Ω</a:t>
              </a:r>
              <a:endParaRPr lang="ko-KR" altLang="en-US" sz="1400" b="1"/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4913428" y="2950029"/>
              <a:ext cx="725324" cy="3093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400" b="1"/>
                <a:t>1nF</a:t>
              </a:r>
              <a:endParaRPr lang="ko-KR" altLang="en-US" sz="1400" b="1"/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9527844" y="2274093"/>
            <a:ext cx="2032589" cy="504639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Shunt</a:t>
            </a:r>
            <a:r>
              <a:rPr lang="en-US" altLang="ko-KR" sz="1800" b="1" baseline="0"/>
              <a:t> Voltage</a:t>
            </a:r>
            <a:endParaRPr lang="ko-KR" altLang="en-US" sz="1800" b="1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2498942" y="716921"/>
            <a:ext cx="1002056" cy="504639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V_ref</a:t>
            </a:r>
            <a:endParaRPr lang="ko-KR" altLang="en-US" sz="1800" b="1"/>
          </a:p>
        </xdr:txBody>
      </xdr:sp>
    </xdr:grpSp>
    <xdr:clientData/>
  </xdr:twoCellAnchor>
  <xdr:twoCellAnchor editAs="oneCell">
    <xdr:from>
      <xdr:col>13</xdr:col>
      <xdr:colOff>163286</xdr:colOff>
      <xdr:row>3</xdr:row>
      <xdr:rowOff>185058</xdr:rowOff>
    </xdr:from>
    <xdr:to>
      <xdr:col>18</xdr:col>
      <xdr:colOff>655557</xdr:colOff>
      <xdr:row>11</xdr:row>
      <xdr:rowOff>152401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55186" y="861333"/>
          <a:ext cx="3921271" cy="2024743"/>
        </a:xfrm>
        <a:prstGeom prst="rect">
          <a:avLst/>
        </a:prstGeom>
      </xdr:spPr>
    </xdr:pic>
    <xdr:clientData/>
  </xdr:twoCellAnchor>
  <xdr:twoCellAnchor>
    <xdr:from>
      <xdr:col>5</xdr:col>
      <xdr:colOff>422244</xdr:colOff>
      <xdr:row>15</xdr:row>
      <xdr:rowOff>98218</xdr:rowOff>
    </xdr:from>
    <xdr:to>
      <xdr:col>16</xdr:col>
      <xdr:colOff>218241</xdr:colOff>
      <xdr:row>25</xdr:row>
      <xdr:rowOff>253091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300530" y="4013265"/>
          <a:ext cx="7128342" cy="2440873"/>
          <a:chOff x="2642930" y="5573734"/>
          <a:chExt cx="7220053" cy="2405494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" name="TextBox 15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 txBox="1"/>
            </xdr:nvSpPr>
            <xdr:spPr>
              <a:xfrm>
                <a:off x="2642930" y="5573734"/>
                <a:ext cx="7220053" cy="82984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en-US" altLang="ko-KR" sz="2400" i="1">
                          <a:latin typeface="Cambria Math" panose="02040503050406030204" pitchFamily="18" charset="0"/>
                        </a:rPr>
                        <m:t>V</m:t>
                      </m:r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𝑜𝑢𝑡</m:t>
                      </m:r>
                      <m:r>
                        <a:rPr lang="en-US" altLang="ko-KR" sz="2400" i="1">
                          <a:latin typeface="Cambria Math" panose="02040503050406030204" pitchFamily="18" charset="0"/>
                        </a:rPr>
                        <m:t>=</m:t>
                      </m:r>
                      <m:d>
                        <m:dPr>
                          <m:ctrlPr>
                            <a:rPr lang="en-US" altLang="ko-KR" sz="24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3+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</m:num>
                            <m:den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3</m:t>
                              </m:r>
                            </m:den>
                          </m:f>
                          <m:r>
                            <a:rPr lang="en-US" altLang="ko-KR" sz="24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f>
                            <m:fPr>
                              <m:ctrlP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1+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</m:num>
                            <m:den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1+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den>
                          </m:f>
                        </m:e>
                      </m:d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𝑉𝑖𝑛</m:t>
                      </m:r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+</m:t>
                      </m:r>
                      <m:d>
                        <m:dPr>
                          <m:ctrlPr>
                            <a:rPr kumimoji="0" lang="en-US" altLang="ko-KR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cs typeface="+mn-cs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1+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4</m:t>
                              </m:r>
                            </m:num>
                            <m:den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1+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2</m:t>
                              </m:r>
                            </m:den>
                          </m:f>
                          <m:r>
                            <a:rPr kumimoji="0" lang="en-US" altLang="ko-KR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cs typeface="+mn-cs"/>
                            </a:rPr>
                            <m:t>∗</m:t>
                          </m:r>
                          <m:sSub>
                            <m:sSubPr>
                              <m:ctrlP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𝑉</m:t>
                              </m:r>
                            </m:e>
                            <m:sub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𝑟𝑒𝑓</m:t>
                              </m:r>
                            </m:sub>
                          </m:sSub>
                        </m:e>
                      </m:d>
                    </m:oMath>
                  </m:oMathPara>
                </a14:m>
                <a:endParaRPr lang="ko-KR" altLang="en-US" sz="2400"/>
              </a:p>
            </xdr:txBody>
          </xdr:sp>
        </mc:Choice>
        <mc:Fallback xmlns="">
          <xdr:sp macro="" textlink="">
            <xdr:nvSpPr>
              <xdr:cNvPr id="16" name="TextBox 15">
                <a:extLst>
                  <a:ext uri="{FF2B5EF4-FFF2-40B4-BE49-F238E27FC236}">
                    <a16:creationId xmlns="" xmlns:a16="http://schemas.microsoft.com/office/drawing/2014/main" xmlns:a14="http://schemas.microsoft.com/office/drawing/2010/main" id="{00000000-0008-0000-0000-00000C000000}"/>
                  </a:ext>
                </a:extLst>
              </xdr:cNvPr>
              <xdr:cNvSpPr txBox="1"/>
            </xdr:nvSpPr>
            <xdr:spPr>
              <a:xfrm>
                <a:off x="2642930" y="5573734"/>
                <a:ext cx="7220053" cy="82984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en-US" altLang="ko-KR" sz="2400" i="0">
                    <a:latin typeface="Cambria Math" panose="02040503050406030204" pitchFamily="18" charset="0"/>
                  </a:rPr>
                  <a:t>V</a:t>
                </a:r>
                <a:r>
                  <a:rPr lang="en-US" altLang="ko-KR" sz="2400" b="0" i="0">
                    <a:latin typeface="Cambria Math" panose="02040503050406030204" pitchFamily="18" charset="0"/>
                  </a:rPr>
                  <a:t>𝑜𝑢𝑡</a:t>
                </a:r>
                <a:r>
                  <a:rPr lang="en-US" altLang="ko-KR" sz="2400" i="0">
                    <a:latin typeface="Cambria Math" panose="02040503050406030204" pitchFamily="18" charset="0"/>
                  </a:rPr>
                  <a:t>=</a:t>
                </a:r>
                <a:r>
                  <a:rPr lang="en-US" altLang="ko-KR" sz="2400" b="0" i="0">
                    <a:latin typeface="Cambria Math" panose="02040503050406030204" pitchFamily="18" charset="0"/>
                  </a:rPr>
                  <a:t>((𝑅3+𝑅4)/𝑅3−(𝑅1+𝑅4)/(𝑅1+𝑅2))𝑉𝑖𝑛+</a:t>
                </a:r>
                <a:r>
                  <a:rPr kumimoji="0" lang="en-US" altLang="ko-KR" sz="2400" b="0" i="0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Cambria Math" panose="02040503050406030204" pitchFamily="18" charset="0"/>
                    <a:cs typeface="+mn-cs"/>
                  </a:rPr>
                  <a:t>((𝑅1+𝑅4)/(𝑅1+𝑅2)∗𝑉_𝑟𝑒𝑓 )</a:t>
                </a:r>
                <a:endParaRPr lang="ko-KR" altLang="en-US" sz="2400"/>
              </a:p>
            </xdr:txBody>
          </xdr:sp>
        </mc:Fallback>
      </mc:AlternateContent>
      <xdr:sp macro="" textlink="">
        <xdr:nvSpPr>
          <xdr:cNvPr id="17" name="오른쪽 중괄호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 rot="5400000">
            <a:off x="4982077" y="5505455"/>
            <a:ext cx="437145" cy="2726871"/>
          </a:xfrm>
          <a:prstGeom prst="rightBrace">
            <a:avLst>
              <a:gd name="adj1" fmla="val 51190"/>
              <a:gd name="adj2" fmla="val 50000"/>
            </a:avLst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" name="오른쪽 중괄호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 rot="5400000">
            <a:off x="8432849" y="5886457"/>
            <a:ext cx="437145" cy="1986642"/>
          </a:xfrm>
          <a:prstGeom prst="rightBrace">
            <a:avLst>
              <a:gd name="adj1" fmla="val 51190"/>
              <a:gd name="adj2" fmla="val 50000"/>
            </a:avLst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4550229" y="7249884"/>
            <a:ext cx="1861456" cy="3701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Op-amp Gain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8011885" y="7271656"/>
            <a:ext cx="1295401" cy="707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1800" b="1"/>
              <a:t>offset</a:t>
            </a:r>
          </a:p>
          <a:p>
            <a:pPr algn="ctr"/>
            <a:r>
              <a:rPr lang="en-US" altLang="ko-KR" sz="1800" b="1"/>
              <a:t>Voltage</a:t>
            </a:r>
            <a:endParaRPr lang="ko-KR" altLang="en-US" sz="1800" b="1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17</xdr:row>
          <xdr:rowOff>190500</xdr:rowOff>
        </xdr:from>
        <xdr:to>
          <xdr:col>4</xdr:col>
          <xdr:colOff>1211580</xdr:colOff>
          <xdr:row>23</xdr:row>
          <xdr:rowOff>198120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43543</xdr:colOff>
      <xdr:row>37</xdr:row>
      <xdr:rowOff>164568</xdr:rowOff>
    </xdr:from>
    <xdr:to>
      <xdr:col>19</xdr:col>
      <xdr:colOff>468086</xdr:colOff>
      <xdr:row>62</xdr:row>
      <xdr:rowOff>42101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53593" y="8632293"/>
          <a:ext cx="11721193" cy="51162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479607</xdr:colOff>
      <xdr:row>1</xdr:row>
      <xdr:rowOff>134472</xdr:rowOff>
    </xdr:from>
    <xdr:to>
      <xdr:col>12</xdr:col>
      <xdr:colOff>430159</xdr:colOff>
      <xdr:row>13</xdr:row>
      <xdr:rowOff>195945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4653190" y="348376"/>
          <a:ext cx="6324410" cy="3224045"/>
          <a:chOff x="9492977" y="678756"/>
          <a:chExt cx="7085965" cy="4262719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9492977" y="678756"/>
            <a:ext cx="7085965" cy="4262719"/>
            <a:chOff x="9569177" y="700527"/>
            <a:chExt cx="7085965" cy="3119719"/>
          </a:xfrm>
        </xdr:grpSpPr>
        <xdr:grpSp>
          <xdr:nvGrpSpPr>
            <xdr:cNvPr id="6" name="그룹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9569177" y="700527"/>
              <a:ext cx="7085965" cy="3119719"/>
              <a:chOff x="2798265" y="569898"/>
              <a:chExt cx="5805276" cy="2466576"/>
            </a:xfrm>
          </xdr:grpSpPr>
          <xdr:pic>
            <xdr:nvPicPr>
              <xdr:cNvPr id="9" name="그림 8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2798265" y="569898"/>
                <a:ext cx="5805276" cy="2466576"/>
              </a:xfrm>
              <a:prstGeom prst="rect">
                <a:avLst/>
              </a:prstGeom>
            </xdr:spPr>
          </xdr:pic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 txBox="1"/>
            </xdr:nvSpPr>
            <xdr:spPr>
              <a:xfrm>
                <a:off x="4515651" y="1550894"/>
                <a:ext cx="594232" cy="2446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R1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1" name="TextBox 10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5271247" y="1142359"/>
                <a:ext cx="594232" cy="2446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R2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SpPr txBox="1"/>
            </xdr:nvSpPr>
            <xdr:spPr>
              <a:xfrm>
                <a:off x="4452898" y="2248861"/>
                <a:ext cx="594232" cy="24460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R3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SpPr txBox="1"/>
            </xdr:nvSpPr>
            <xdr:spPr>
              <a:xfrm>
                <a:off x="5623432" y="2764970"/>
                <a:ext cx="594234" cy="24461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R4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</xdr:grp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14162313" y="2242457"/>
              <a:ext cx="725324" cy="3093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400" b="1"/>
                <a:t>100</a:t>
              </a:r>
              <a:r>
                <a:rPr lang="el-GR" altLang="ko-KR" sz="1400" b="1"/>
                <a:t>Ω</a:t>
              </a:r>
              <a:endParaRPr lang="ko-KR" altLang="en-US" sz="1400" b="1"/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14913428" y="2950029"/>
              <a:ext cx="725324" cy="3093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400" b="1"/>
                <a:t>1nF</a:t>
              </a:r>
              <a:endParaRPr lang="ko-KR" altLang="en-US" sz="1400" b="1"/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9527844" y="2274093"/>
            <a:ext cx="2032589" cy="504639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Shunt</a:t>
            </a:r>
            <a:r>
              <a:rPr lang="en-US" altLang="ko-KR" sz="1800" b="1" baseline="0"/>
              <a:t> Voltage</a:t>
            </a:r>
            <a:endParaRPr lang="ko-KR" altLang="en-US" sz="1800" b="1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12498942" y="716921"/>
            <a:ext cx="1002056" cy="504639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V_ref</a:t>
            </a:r>
            <a:endParaRPr lang="ko-KR" altLang="en-US" sz="1800" b="1"/>
          </a:p>
        </xdr:txBody>
      </xdr:sp>
    </xdr:grpSp>
    <xdr:clientData/>
  </xdr:twoCellAnchor>
  <xdr:twoCellAnchor editAs="oneCell">
    <xdr:from>
      <xdr:col>13</xdr:col>
      <xdr:colOff>163286</xdr:colOff>
      <xdr:row>3</xdr:row>
      <xdr:rowOff>185058</xdr:rowOff>
    </xdr:from>
    <xdr:to>
      <xdr:col>18</xdr:col>
      <xdr:colOff>655557</xdr:colOff>
      <xdr:row>11</xdr:row>
      <xdr:rowOff>152401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95166" y="893718"/>
          <a:ext cx="3845071" cy="2100943"/>
        </a:xfrm>
        <a:prstGeom prst="rect">
          <a:avLst/>
        </a:prstGeom>
      </xdr:spPr>
    </xdr:pic>
    <xdr:clientData/>
  </xdr:twoCellAnchor>
  <xdr:twoCellAnchor>
    <xdr:from>
      <xdr:col>5</xdr:col>
      <xdr:colOff>422244</xdr:colOff>
      <xdr:row>15</xdr:row>
      <xdr:rowOff>98218</xdr:rowOff>
    </xdr:from>
    <xdr:to>
      <xdr:col>16</xdr:col>
      <xdr:colOff>218241</xdr:colOff>
      <xdr:row>25</xdr:row>
      <xdr:rowOff>264521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6300530" y="4013265"/>
          <a:ext cx="7128342" cy="2456113"/>
          <a:chOff x="2642930" y="5573734"/>
          <a:chExt cx="7220053" cy="2405494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" name="TextBox 15">
                <a:extLst>
                  <a:ext uri="{FF2B5EF4-FFF2-40B4-BE49-F238E27FC236}">
                    <a16:creationId xmlns:a16="http://schemas.microsoft.com/office/drawing/2014/main" id="{00000000-0008-0000-0100-000010000000}"/>
                  </a:ext>
                </a:extLst>
              </xdr:cNvPr>
              <xdr:cNvSpPr txBox="1"/>
            </xdr:nvSpPr>
            <xdr:spPr>
              <a:xfrm>
                <a:off x="2642930" y="5573734"/>
                <a:ext cx="7220053" cy="82984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en-US" altLang="ko-KR" sz="2400" i="1">
                          <a:latin typeface="Cambria Math" panose="02040503050406030204" pitchFamily="18" charset="0"/>
                        </a:rPr>
                        <m:t>V</m:t>
                      </m:r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𝑜𝑢𝑡</m:t>
                      </m:r>
                      <m:r>
                        <a:rPr lang="en-US" altLang="ko-KR" sz="2400" i="1">
                          <a:latin typeface="Cambria Math" panose="02040503050406030204" pitchFamily="18" charset="0"/>
                        </a:rPr>
                        <m:t>=</m:t>
                      </m:r>
                      <m:d>
                        <m:dPr>
                          <m:ctrlPr>
                            <a:rPr lang="en-US" altLang="ko-KR" sz="24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3+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</m:num>
                            <m:den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3</m:t>
                              </m:r>
                            </m:den>
                          </m:f>
                          <m:r>
                            <a:rPr lang="en-US" altLang="ko-KR" sz="24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f>
                            <m:fPr>
                              <m:ctrlP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1+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</m:num>
                            <m:den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1+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den>
                          </m:f>
                        </m:e>
                      </m:d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𝑉𝑖𝑛</m:t>
                      </m:r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+</m:t>
                      </m:r>
                      <m:d>
                        <m:dPr>
                          <m:ctrlPr>
                            <a:rPr kumimoji="0" lang="en-US" altLang="ko-KR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cs typeface="+mn-cs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1+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4</m:t>
                              </m:r>
                            </m:num>
                            <m:den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1+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2</m:t>
                              </m:r>
                            </m:den>
                          </m:f>
                          <m:r>
                            <a:rPr kumimoji="0" lang="en-US" altLang="ko-KR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cs typeface="+mn-cs"/>
                            </a:rPr>
                            <m:t>∗</m:t>
                          </m:r>
                          <m:sSub>
                            <m:sSubPr>
                              <m:ctrlP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𝑉</m:t>
                              </m:r>
                            </m:e>
                            <m:sub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𝑟𝑒𝑓</m:t>
                              </m:r>
                            </m:sub>
                          </m:sSub>
                        </m:e>
                      </m:d>
                    </m:oMath>
                  </m:oMathPara>
                </a14:m>
                <a:endParaRPr lang="ko-KR" altLang="en-US" sz="2400"/>
              </a:p>
            </xdr:txBody>
          </xdr:sp>
        </mc:Choice>
        <mc:Fallback xmlns="">
          <xdr:sp macro="" textlink="">
            <xdr:nvSpPr>
              <xdr:cNvPr id="16" name="TextBox 15">
                <a:extLst>
                  <a:ext uri="{FF2B5EF4-FFF2-40B4-BE49-F238E27FC236}">
                    <a16:creationId xmlns:a16="http://schemas.microsoft.com/office/drawing/2014/main" xmlns="" xmlns:a14="http://schemas.microsoft.com/office/drawing/2010/main" id="{00000000-0008-0000-0000-00000C000000}"/>
                  </a:ext>
                </a:extLst>
              </xdr:cNvPr>
              <xdr:cNvSpPr txBox="1"/>
            </xdr:nvSpPr>
            <xdr:spPr>
              <a:xfrm>
                <a:off x="2642930" y="5573734"/>
                <a:ext cx="7220053" cy="82984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en-US" altLang="ko-KR" sz="2400" i="0">
                    <a:latin typeface="Cambria Math" panose="02040503050406030204" pitchFamily="18" charset="0"/>
                  </a:rPr>
                  <a:t>V</a:t>
                </a:r>
                <a:r>
                  <a:rPr lang="en-US" altLang="ko-KR" sz="2400" b="0" i="0">
                    <a:latin typeface="Cambria Math" panose="02040503050406030204" pitchFamily="18" charset="0"/>
                  </a:rPr>
                  <a:t>𝑜𝑢𝑡</a:t>
                </a:r>
                <a:r>
                  <a:rPr lang="en-US" altLang="ko-KR" sz="2400" i="0">
                    <a:latin typeface="Cambria Math" panose="02040503050406030204" pitchFamily="18" charset="0"/>
                  </a:rPr>
                  <a:t>=</a:t>
                </a:r>
                <a:r>
                  <a:rPr lang="en-US" altLang="ko-KR" sz="2400" b="0" i="0">
                    <a:latin typeface="Cambria Math" panose="02040503050406030204" pitchFamily="18" charset="0"/>
                  </a:rPr>
                  <a:t>((𝑅3+𝑅4)/𝑅3−(𝑅1+𝑅4)/(𝑅1+𝑅2))𝑉𝑖𝑛+</a:t>
                </a:r>
                <a:r>
                  <a:rPr kumimoji="0" lang="en-US" altLang="ko-KR" sz="2400" b="0" i="0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Cambria Math" panose="02040503050406030204" pitchFamily="18" charset="0"/>
                    <a:cs typeface="+mn-cs"/>
                  </a:rPr>
                  <a:t>((𝑅1+𝑅4)/(𝑅1+𝑅2)∗𝑉_𝑟𝑒𝑓 )</a:t>
                </a:r>
                <a:endParaRPr lang="ko-KR" altLang="en-US" sz="2400"/>
              </a:p>
            </xdr:txBody>
          </xdr:sp>
        </mc:Fallback>
      </mc:AlternateContent>
      <xdr:sp macro="" textlink="">
        <xdr:nvSpPr>
          <xdr:cNvPr id="17" name="오른쪽 중괄호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 rot="5400000">
            <a:off x="4982077" y="5505455"/>
            <a:ext cx="437145" cy="2726871"/>
          </a:xfrm>
          <a:prstGeom prst="rightBrace">
            <a:avLst>
              <a:gd name="adj1" fmla="val 51190"/>
              <a:gd name="adj2" fmla="val 50000"/>
            </a:avLst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" name="오른쪽 중괄호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 rot="5400000">
            <a:off x="8432849" y="5886457"/>
            <a:ext cx="437145" cy="1986642"/>
          </a:xfrm>
          <a:prstGeom prst="rightBrace">
            <a:avLst>
              <a:gd name="adj1" fmla="val 51190"/>
              <a:gd name="adj2" fmla="val 50000"/>
            </a:avLst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 txBox="1"/>
        </xdr:nvSpPr>
        <xdr:spPr>
          <a:xfrm>
            <a:off x="4550229" y="7249884"/>
            <a:ext cx="1861456" cy="3701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Op-amp Gain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8011885" y="7271656"/>
            <a:ext cx="1295401" cy="707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1800" b="1"/>
              <a:t>offset</a:t>
            </a:r>
          </a:p>
          <a:p>
            <a:pPr algn="ctr"/>
            <a:r>
              <a:rPr lang="en-US" altLang="ko-KR" sz="1800" b="1"/>
              <a:t>Voltage</a:t>
            </a:r>
            <a:endParaRPr lang="ko-KR" altLang="en-US" sz="1800" b="1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17</xdr:row>
          <xdr:rowOff>190500</xdr:rowOff>
        </xdr:from>
        <xdr:to>
          <xdr:col>4</xdr:col>
          <xdr:colOff>1211580</xdr:colOff>
          <xdr:row>23</xdr:row>
          <xdr:rowOff>198120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43543</xdr:colOff>
      <xdr:row>37</xdr:row>
      <xdr:rowOff>164568</xdr:rowOff>
    </xdr:from>
    <xdr:to>
      <xdr:col>19</xdr:col>
      <xdr:colOff>468086</xdr:colOff>
      <xdr:row>62</xdr:row>
      <xdr:rowOff>42101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9303" y="9026628"/>
          <a:ext cx="11504023" cy="54020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479607</xdr:colOff>
      <xdr:row>1</xdr:row>
      <xdr:rowOff>134472</xdr:rowOff>
    </xdr:from>
    <xdr:to>
      <xdr:col>12</xdr:col>
      <xdr:colOff>430159</xdr:colOff>
      <xdr:row>13</xdr:row>
      <xdr:rowOff>195945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4653190" y="348376"/>
          <a:ext cx="6324410" cy="3224045"/>
          <a:chOff x="9492977" y="678756"/>
          <a:chExt cx="7085965" cy="4262719"/>
        </a:xfrm>
      </xdr:grpSpPr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GrpSpPr/>
        </xdr:nvGrpSpPr>
        <xdr:grpSpPr>
          <a:xfrm>
            <a:off x="9492977" y="678756"/>
            <a:ext cx="7085965" cy="4262719"/>
            <a:chOff x="9569177" y="700527"/>
            <a:chExt cx="7085965" cy="3119719"/>
          </a:xfrm>
        </xdr:grpSpPr>
        <xdr:grpSp>
          <xdr:nvGrpSpPr>
            <xdr:cNvPr id="9" name="그룹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9569177" y="700527"/>
              <a:ext cx="7085965" cy="3119719"/>
              <a:chOff x="2798265" y="569898"/>
              <a:chExt cx="5805276" cy="2466576"/>
            </a:xfrm>
          </xdr:grpSpPr>
          <xdr:pic>
            <xdr:nvPicPr>
              <xdr:cNvPr id="8" name="그림 7">
                <a:extLst>
                  <a:ext uri="{FF2B5EF4-FFF2-40B4-BE49-F238E27FC236}">
                    <a16:creationId xmlns:a16="http://schemas.microsoft.com/office/drawing/2014/main" id="{00000000-0008-0000-0200-000008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2798265" y="569898"/>
                <a:ext cx="5805276" cy="2466576"/>
              </a:xfrm>
              <a:prstGeom prst="rect">
                <a:avLst/>
              </a:prstGeom>
            </xdr:spPr>
          </xdr:pic>
          <xdr:sp macro="" textlink="">
            <xdr:nvSpPr>
              <xdr:cNvPr id="3" name="TextBox 2">
                <a:extLst>
                  <a:ext uri="{FF2B5EF4-FFF2-40B4-BE49-F238E27FC236}">
                    <a16:creationId xmlns:a16="http://schemas.microsoft.com/office/drawing/2014/main" id="{00000000-0008-0000-0200-000003000000}"/>
                  </a:ext>
                </a:extLst>
              </xdr:cNvPr>
              <xdr:cNvSpPr txBox="1"/>
            </xdr:nvSpPr>
            <xdr:spPr>
              <a:xfrm>
                <a:off x="4515651" y="1550894"/>
                <a:ext cx="594232" cy="2446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R1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00000000-0008-0000-0200-000005000000}"/>
                  </a:ext>
                </a:extLst>
              </xdr:cNvPr>
              <xdr:cNvSpPr txBox="1"/>
            </xdr:nvSpPr>
            <xdr:spPr>
              <a:xfrm>
                <a:off x="5271247" y="1142359"/>
                <a:ext cx="594232" cy="2446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R2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6" name="TextBox 5">
                <a:extLst>
                  <a:ext uri="{FF2B5EF4-FFF2-40B4-BE49-F238E27FC236}">
                    <a16:creationId xmlns:a16="http://schemas.microsoft.com/office/drawing/2014/main" id="{00000000-0008-0000-0200-000006000000}"/>
                  </a:ext>
                </a:extLst>
              </xdr:cNvPr>
              <xdr:cNvSpPr txBox="1"/>
            </xdr:nvSpPr>
            <xdr:spPr>
              <a:xfrm>
                <a:off x="4452898" y="2248861"/>
                <a:ext cx="594232" cy="24460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R3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7" name="TextBox 6">
                <a:extLst>
                  <a:ext uri="{FF2B5EF4-FFF2-40B4-BE49-F238E27FC236}">
                    <a16:creationId xmlns:a16="http://schemas.microsoft.com/office/drawing/2014/main" id="{00000000-0008-0000-0200-000007000000}"/>
                  </a:ext>
                </a:extLst>
              </xdr:cNvPr>
              <xdr:cNvSpPr txBox="1"/>
            </xdr:nvSpPr>
            <xdr:spPr>
              <a:xfrm>
                <a:off x="5623432" y="2764970"/>
                <a:ext cx="594234" cy="24461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R4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</xdr:grp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 txBox="1"/>
          </xdr:nvSpPr>
          <xdr:spPr>
            <a:xfrm>
              <a:off x="14162313" y="2242457"/>
              <a:ext cx="725324" cy="3093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400" b="1"/>
                <a:t>100</a:t>
              </a:r>
              <a:r>
                <a:rPr lang="el-GR" altLang="ko-KR" sz="1400" b="1"/>
                <a:t>Ω</a:t>
              </a:r>
              <a:endParaRPr lang="ko-KR" altLang="en-US" sz="1400" b="1"/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SpPr txBox="1"/>
          </xdr:nvSpPr>
          <xdr:spPr>
            <a:xfrm>
              <a:off x="14913428" y="2950029"/>
              <a:ext cx="725324" cy="3093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400" b="1"/>
                <a:t>1nF</a:t>
              </a:r>
              <a:endParaRPr lang="ko-KR" altLang="en-US" sz="1400" b="1"/>
            </a:p>
          </xdr:txBody>
        </xdr:sp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527844" y="2274093"/>
            <a:ext cx="2032589" cy="504639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Shunt</a:t>
            </a:r>
            <a:r>
              <a:rPr lang="en-US" altLang="ko-KR" sz="1800" b="1" baseline="0"/>
              <a:t> Voltage</a:t>
            </a:r>
            <a:endParaRPr lang="ko-KR" altLang="en-US" sz="1800" b="1"/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 txBox="1"/>
        </xdr:nvSpPr>
        <xdr:spPr>
          <a:xfrm>
            <a:off x="12498942" y="716921"/>
            <a:ext cx="1002056" cy="504639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V_ref</a:t>
            </a:r>
            <a:endParaRPr lang="ko-KR" altLang="en-US" sz="1800" b="1"/>
          </a:p>
        </xdr:txBody>
      </xdr:sp>
    </xdr:grpSp>
    <xdr:clientData/>
  </xdr:twoCellAnchor>
  <xdr:twoCellAnchor editAs="oneCell">
    <xdr:from>
      <xdr:col>13</xdr:col>
      <xdr:colOff>163286</xdr:colOff>
      <xdr:row>3</xdr:row>
      <xdr:rowOff>185058</xdr:rowOff>
    </xdr:from>
    <xdr:to>
      <xdr:col>18</xdr:col>
      <xdr:colOff>655557</xdr:colOff>
      <xdr:row>11</xdr:row>
      <xdr:rowOff>152401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5743" y="1545772"/>
          <a:ext cx="3866841" cy="2144486"/>
        </a:xfrm>
        <a:prstGeom prst="rect">
          <a:avLst/>
        </a:prstGeom>
      </xdr:spPr>
    </xdr:pic>
    <xdr:clientData/>
  </xdr:twoCellAnchor>
  <xdr:twoCellAnchor>
    <xdr:from>
      <xdr:col>5</xdr:col>
      <xdr:colOff>422244</xdr:colOff>
      <xdr:row>15</xdr:row>
      <xdr:rowOff>98218</xdr:rowOff>
    </xdr:from>
    <xdr:to>
      <xdr:col>16</xdr:col>
      <xdr:colOff>218241</xdr:colOff>
      <xdr:row>25</xdr:row>
      <xdr:rowOff>272141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/>
      </xdr:nvGrpSpPr>
      <xdr:grpSpPr>
        <a:xfrm>
          <a:off x="6300530" y="4013265"/>
          <a:ext cx="7128342" cy="2456113"/>
          <a:chOff x="2642930" y="5573734"/>
          <a:chExt cx="7220053" cy="2405494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 txBox="1"/>
            </xdr:nvSpPr>
            <xdr:spPr>
              <a:xfrm>
                <a:off x="2642930" y="5573734"/>
                <a:ext cx="7220053" cy="82984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en-US" altLang="ko-KR" sz="2400" i="1">
                          <a:latin typeface="Cambria Math" panose="02040503050406030204" pitchFamily="18" charset="0"/>
                        </a:rPr>
                        <m:t>V</m:t>
                      </m:r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𝑜𝑢𝑡</m:t>
                      </m:r>
                      <m:r>
                        <a:rPr lang="en-US" altLang="ko-KR" sz="2400" i="1">
                          <a:latin typeface="Cambria Math" panose="02040503050406030204" pitchFamily="18" charset="0"/>
                        </a:rPr>
                        <m:t>=</m:t>
                      </m:r>
                      <m:d>
                        <m:dPr>
                          <m:ctrlPr>
                            <a:rPr lang="en-US" altLang="ko-KR" sz="24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3+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</m:num>
                            <m:den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3</m:t>
                              </m:r>
                            </m:den>
                          </m:f>
                          <m:r>
                            <a:rPr lang="en-US" altLang="ko-KR" sz="24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f>
                            <m:fPr>
                              <m:ctrlP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1+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</m:num>
                            <m:den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1+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den>
                          </m:f>
                        </m:e>
                      </m:d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𝑉𝑖𝑛</m:t>
                      </m:r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+</m:t>
                      </m:r>
                      <m:d>
                        <m:dPr>
                          <m:ctrlPr>
                            <a:rPr kumimoji="0" lang="en-US" altLang="ko-KR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cs typeface="+mn-cs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1+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4</m:t>
                              </m:r>
                            </m:num>
                            <m:den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1+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2</m:t>
                              </m:r>
                            </m:den>
                          </m:f>
                          <m:r>
                            <a:rPr kumimoji="0" lang="en-US" altLang="ko-KR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cs typeface="+mn-cs"/>
                            </a:rPr>
                            <m:t>∗</m:t>
                          </m:r>
                          <m:sSub>
                            <m:sSubPr>
                              <m:ctrlP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𝑉</m:t>
                              </m:r>
                            </m:e>
                            <m:sub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𝑟𝑒𝑓</m:t>
                              </m:r>
                            </m:sub>
                          </m:sSub>
                        </m:e>
                      </m:d>
                    </m:oMath>
                  </m:oMathPara>
                </a14:m>
                <a:endParaRPr lang="ko-KR" altLang="en-US" sz="2400"/>
              </a:p>
            </xdr:txBody>
          </xdr:sp>
        </mc:Choice>
        <mc:Fallback xmlns=""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 txBox="1"/>
            </xdr:nvSpPr>
            <xdr:spPr>
              <a:xfrm>
                <a:off x="2642930" y="5573734"/>
                <a:ext cx="7220053" cy="82984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en-US" altLang="ko-KR" sz="2400" i="0">
                    <a:latin typeface="Cambria Math" panose="02040503050406030204" pitchFamily="18" charset="0"/>
                  </a:rPr>
                  <a:t>V</a:t>
                </a:r>
                <a:r>
                  <a:rPr lang="en-US" altLang="ko-KR" sz="2400" b="0" i="0">
                    <a:latin typeface="Cambria Math" panose="02040503050406030204" pitchFamily="18" charset="0"/>
                  </a:rPr>
                  <a:t>𝑜𝑢𝑡</a:t>
                </a:r>
                <a:r>
                  <a:rPr lang="en-US" altLang="ko-KR" sz="2400" i="0">
                    <a:latin typeface="Cambria Math" panose="02040503050406030204" pitchFamily="18" charset="0"/>
                  </a:rPr>
                  <a:t>=</a:t>
                </a:r>
                <a:r>
                  <a:rPr lang="en-US" altLang="ko-KR" sz="2400" b="0" i="0">
                    <a:latin typeface="Cambria Math" panose="02040503050406030204" pitchFamily="18" charset="0"/>
                  </a:rPr>
                  <a:t>((𝑅3+𝑅4)/𝑅3−(𝑅1+𝑅4)/(𝑅1+𝑅2))𝑉𝑖𝑛+</a:t>
                </a:r>
                <a:r>
                  <a:rPr kumimoji="0" lang="en-US" altLang="ko-KR" sz="2400" b="0" i="0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Cambria Math" panose="02040503050406030204" pitchFamily="18" charset="0"/>
                    <a:cs typeface="+mn-cs"/>
                  </a:rPr>
                  <a:t>((𝑅1+𝑅4)/(𝑅1+𝑅2)∗𝑉_𝑟𝑒𝑓 )</a:t>
                </a:r>
                <a:endParaRPr lang="ko-KR" altLang="en-US" sz="2400"/>
              </a:p>
            </xdr:txBody>
          </xdr:sp>
        </mc:Fallback>
      </mc:AlternateContent>
      <xdr:sp macro="" textlink="">
        <xdr:nvSpPr>
          <xdr:cNvPr id="13" name="오른쪽 중괄호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 rot="5400000">
            <a:off x="4982077" y="5505455"/>
            <a:ext cx="437145" cy="2726871"/>
          </a:xfrm>
          <a:prstGeom prst="rightBrace">
            <a:avLst>
              <a:gd name="adj1" fmla="val 51190"/>
              <a:gd name="adj2" fmla="val 50000"/>
            </a:avLst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오른쪽 중괄호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 rot="5400000">
            <a:off x="8432849" y="5886457"/>
            <a:ext cx="437145" cy="1986642"/>
          </a:xfrm>
          <a:prstGeom prst="rightBrace">
            <a:avLst>
              <a:gd name="adj1" fmla="val 51190"/>
              <a:gd name="adj2" fmla="val 50000"/>
            </a:avLst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4550229" y="7249884"/>
            <a:ext cx="1861456" cy="3701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Op-amp Gain</a:t>
            </a:r>
            <a:endParaRPr lang="ko-KR" altLang="en-US" sz="1800" b="1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011885" y="7271656"/>
            <a:ext cx="1295401" cy="707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1800" b="1"/>
              <a:t>offset</a:t>
            </a:r>
          </a:p>
          <a:p>
            <a:pPr algn="ctr"/>
            <a:r>
              <a:rPr lang="en-US" altLang="ko-KR" sz="1800" b="1"/>
              <a:t>Voltage</a:t>
            </a:r>
            <a:endParaRPr lang="ko-KR" altLang="en-US" sz="1800" b="1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17</xdr:row>
          <xdr:rowOff>190500</xdr:rowOff>
        </xdr:from>
        <xdr:to>
          <xdr:col>4</xdr:col>
          <xdr:colOff>1211580</xdr:colOff>
          <xdr:row>23</xdr:row>
          <xdr:rowOff>198120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43543</xdr:colOff>
      <xdr:row>37</xdr:row>
      <xdr:rowOff>164568</xdr:rowOff>
    </xdr:from>
    <xdr:to>
      <xdr:col>19</xdr:col>
      <xdr:colOff>468086</xdr:colOff>
      <xdr:row>62</xdr:row>
      <xdr:rowOff>42101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34543" y="9036425"/>
          <a:ext cx="11560629" cy="53203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567145</xdr:colOff>
      <xdr:row>3</xdr:row>
      <xdr:rowOff>151310</xdr:rowOff>
    </xdr:from>
    <xdr:to>
      <xdr:col>10</xdr:col>
      <xdr:colOff>299188</xdr:colOff>
      <xdr:row>13</xdr:row>
      <xdr:rowOff>200526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0720" y="779960"/>
          <a:ext cx="3161043" cy="252571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12</xdr:row>
          <xdr:rowOff>30480</xdr:rowOff>
        </xdr:from>
        <xdr:to>
          <xdr:col>4</xdr:col>
          <xdr:colOff>1242060</xdr:colOff>
          <xdr:row>16</xdr:row>
          <xdr:rowOff>236220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567145</xdr:colOff>
      <xdr:row>3</xdr:row>
      <xdr:rowOff>151310</xdr:rowOff>
    </xdr:from>
    <xdr:to>
      <xdr:col>10</xdr:col>
      <xdr:colOff>299188</xdr:colOff>
      <xdr:row>13</xdr:row>
      <xdr:rowOff>200526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2145" y="804453"/>
          <a:ext cx="3106614" cy="266178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12</xdr:row>
          <xdr:rowOff>30480</xdr:rowOff>
        </xdr:from>
        <xdr:to>
          <xdr:col>4</xdr:col>
          <xdr:colOff>1242060</xdr:colOff>
          <xdr:row>16</xdr:row>
          <xdr:rowOff>236220</xdr:rowOff>
        </xdr:to>
        <xdr:sp macro="" textlink="">
          <xdr:nvSpPr>
            <xdr:cNvPr id="2092" name="Object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6"/>
  <sheetViews>
    <sheetView tabSelected="1" zoomScale="70" zoomScaleNormal="70" workbookViewId="0">
      <selection activeCell="C6" sqref="C6"/>
    </sheetView>
  </sheetViews>
  <sheetFormatPr defaultRowHeight="17.399999999999999" x14ac:dyDescent="0.4"/>
  <cols>
    <col min="2" max="2" width="23.09765625" bestFit="1" customWidth="1"/>
    <col min="3" max="3" width="14.09765625" customWidth="1"/>
    <col min="5" max="5" width="22.19921875" bestFit="1" customWidth="1"/>
  </cols>
  <sheetData>
    <row r="3" spans="1:5" ht="21" x14ac:dyDescent="0.4">
      <c r="C3" s="1"/>
      <c r="D3" s="1"/>
    </row>
    <row r="4" spans="1:5" ht="21" x14ac:dyDescent="0.4">
      <c r="B4" s="1"/>
      <c r="C4" s="1"/>
      <c r="D4" s="1"/>
    </row>
    <row r="5" spans="1:5" ht="21" x14ac:dyDescent="0.4">
      <c r="B5" s="4" t="s">
        <v>6</v>
      </c>
      <c r="C5" s="5">
        <v>5</v>
      </c>
      <c r="D5" s="4" t="s">
        <v>9</v>
      </c>
    </row>
    <row r="6" spans="1:5" ht="21" x14ac:dyDescent="0.4">
      <c r="A6" s="1"/>
      <c r="B6" s="4" t="s">
        <v>7</v>
      </c>
      <c r="C6" s="17">
        <v>0.08</v>
      </c>
      <c r="D6" s="6" t="s">
        <v>4</v>
      </c>
    </row>
    <row r="7" spans="1:5" ht="21" x14ac:dyDescent="0.4">
      <c r="B7" s="7" t="s">
        <v>10</v>
      </c>
      <c r="C7" s="18">
        <f>C5*C6</f>
        <v>0.4</v>
      </c>
      <c r="D7" s="6" t="s">
        <v>8</v>
      </c>
    </row>
    <row r="8" spans="1:5" ht="21" x14ac:dyDescent="0.4">
      <c r="B8" s="4" t="s">
        <v>0</v>
      </c>
      <c r="C8" s="9">
        <v>3</v>
      </c>
      <c r="D8" s="6" t="s">
        <v>5</v>
      </c>
    </row>
    <row r="9" spans="1:5" ht="21" x14ac:dyDescent="0.4">
      <c r="B9" s="4" t="s">
        <v>1</v>
      </c>
      <c r="C9" s="9">
        <v>33</v>
      </c>
      <c r="D9" s="6" t="s">
        <v>5</v>
      </c>
    </row>
    <row r="10" spans="1:5" ht="21" x14ac:dyDescent="0.4">
      <c r="B10" s="4" t="s">
        <v>2</v>
      </c>
      <c r="C10" s="9">
        <v>3</v>
      </c>
      <c r="D10" s="6" t="s">
        <v>5</v>
      </c>
    </row>
    <row r="11" spans="1:5" ht="21" x14ac:dyDescent="0.4">
      <c r="B11" s="4" t="s">
        <v>3</v>
      </c>
      <c r="C11" s="9">
        <v>15</v>
      </c>
      <c r="D11" s="6" t="s">
        <v>5</v>
      </c>
    </row>
    <row r="12" spans="1:5" x14ac:dyDescent="0.4">
      <c r="B12" s="10"/>
      <c r="C12" s="11"/>
      <c r="D12" s="10"/>
    </row>
    <row r="13" spans="1:5" ht="21" x14ac:dyDescent="0.4">
      <c r="B13" s="4" t="s">
        <v>11</v>
      </c>
      <c r="C13" s="5">
        <v>5</v>
      </c>
      <c r="D13" s="4" t="s">
        <v>8</v>
      </c>
      <c r="E13" s="1"/>
    </row>
    <row r="14" spans="1:5" ht="21" x14ac:dyDescent="0.4">
      <c r="B14" s="4"/>
      <c r="C14" s="5"/>
      <c r="D14" s="4"/>
      <c r="E14" s="1"/>
    </row>
    <row r="15" spans="1:5" ht="21" x14ac:dyDescent="0.4">
      <c r="B15" s="4" t="s">
        <v>14</v>
      </c>
      <c r="C15" s="9">
        <f>((C10+C11)/C10)-((C8+C11)/(C8+C9))</f>
        <v>5.5</v>
      </c>
      <c r="D15" s="4"/>
      <c r="E15" s="1"/>
    </row>
    <row r="16" spans="1:5" ht="21" x14ac:dyDescent="0.4">
      <c r="B16" s="4" t="s">
        <v>13</v>
      </c>
      <c r="C16" s="5">
        <f>C13*((C8+C11)/(C8+C9))</f>
        <v>2.5</v>
      </c>
      <c r="D16" s="4" t="s">
        <v>8</v>
      </c>
      <c r="E16" s="3" t="s">
        <v>15</v>
      </c>
    </row>
    <row r="17" spans="2:5" ht="21" x14ac:dyDescent="0.4">
      <c r="B17" s="7" t="s">
        <v>25</v>
      </c>
      <c r="C17" s="8">
        <f>(C15*C7)+C16</f>
        <v>4.7</v>
      </c>
      <c r="D17" s="4" t="s">
        <v>8</v>
      </c>
      <c r="E17" s="3" t="s">
        <v>26</v>
      </c>
    </row>
    <row r="18" spans="2:5" x14ac:dyDescent="0.4">
      <c r="C18" s="2"/>
    </row>
    <row r="19" spans="2:5" x14ac:dyDescent="0.4">
      <c r="C19" s="2"/>
    </row>
    <row r="20" spans="2:5" x14ac:dyDescent="0.4">
      <c r="C20" s="2"/>
    </row>
    <row r="21" spans="2:5" x14ac:dyDescent="0.4">
      <c r="C21" s="2"/>
    </row>
    <row r="26" spans="2:5" ht="21" x14ac:dyDescent="0.4">
      <c r="B26" s="12" t="s">
        <v>23</v>
      </c>
      <c r="C26" s="13">
        <f>(16384/((C15*C7)*4095/5))*128</f>
        <v>1163.9205239205239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6145" r:id="rId4">
          <objectPr defaultSize="0" autoPict="0" r:id="rId5">
            <anchor moveWithCells="1">
              <from>
                <xdr:col>1</xdr:col>
                <xdr:colOff>7620</xdr:colOff>
                <xdr:row>17</xdr:row>
                <xdr:rowOff>190500</xdr:rowOff>
              </from>
              <to>
                <xdr:col>4</xdr:col>
                <xdr:colOff>1211580</xdr:colOff>
                <xdr:row>23</xdr:row>
                <xdr:rowOff>198120</xdr:rowOff>
              </to>
            </anchor>
          </objectPr>
        </oleObject>
      </mc:Choice>
      <mc:Fallback>
        <oleObject progId="Equation.DSMT4" shapeId="614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U26"/>
  <sheetViews>
    <sheetView zoomScale="70" zoomScaleNormal="70" workbookViewId="0">
      <selection activeCell="I31" sqref="I31"/>
    </sheetView>
  </sheetViews>
  <sheetFormatPr defaultRowHeight="17.399999999999999" x14ac:dyDescent="0.4"/>
  <cols>
    <col min="2" max="2" width="23.09765625" bestFit="1" customWidth="1"/>
    <col min="3" max="3" width="14.09765625" customWidth="1"/>
    <col min="5" max="5" width="22.19921875" bestFit="1" customWidth="1"/>
  </cols>
  <sheetData>
    <row r="3" spans="1:5" ht="21" x14ac:dyDescent="0.4">
      <c r="C3" s="1"/>
      <c r="D3" s="1"/>
    </row>
    <row r="4" spans="1:5" ht="21" x14ac:dyDescent="0.4">
      <c r="B4" s="1"/>
      <c r="C4" s="1"/>
      <c r="D4" s="1"/>
    </row>
    <row r="5" spans="1:5" ht="21" x14ac:dyDescent="0.4">
      <c r="B5" s="4" t="s">
        <v>6</v>
      </c>
      <c r="C5" s="5">
        <v>8</v>
      </c>
      <c r="D5" s="4" t="s">
        <v>9</v>
      </c>
    </row>
    <row r="6" spans="1:5" ht="21" x14ac:dyDescent="0.4">
      <c r="A6" s="1"/>
      <c r="B6" s="4" t="s">
        <v>7</v>
      </c>
      <c r="C6" s="17">
        <v>0.05</v>
      </c>
      <c r="D6" s="6" t="s">
        <v>4</v>
      </c>
    </row>
    <row r="7" spans="1:5" ht="21" x14ac:dyDescent="0.4">
      <c r="B7" s="7" t="s">
        <v>10</v>
      </c>
      <c r="C7" s="18">
        <f>C5*C6</f>
        <v>0.4</v>
      </c>
      <c r="D7" s="6" t="s">
        <v>8</v>
      </c>
    </row>
    <row r="8" spans="1:5" ht="21" x14ac:dyDescent="0.4">
      <c r="B8" s="4" t="s">
        <v>0</v>
      </c>
      <c r="C8" s="9">
        <v>3</v>
      </c>
      <c r="D8" s="6" t="s">
        <v>5</v>
      </c>
    </row>
    <row r="9" spans="1:5" ht="21" x14ac:dyDescent="0.4">
      <c r="B9" s="4" t="s">
        <v>1</v>
      </c>
      <c r="C9" s="9">
        <v>33</v>
      </c>
      <c r="D9" s="6" t="s">
        <v>5</v>
      </c>
    </row>
    <row r="10" spans="1:5" ht="21" x14ac:dyDescent="0.4">
      <c r="B10" s="4" t="s">
        <v>2</v>
      </c>
      <c r="C10" s="9">
        <v>3</v>
      </c>
      <c r="D10" s="6" t="s">
        <v>5</v>
      </c>
    </row>
    <row r="11" spans="1:5" ht="21" x14ac:dyDescent="0.4">
      <c r="B11" s="4" t="s">
        <v>3</v>
      </c>
      <c r="C11" s="9">
        <v>15</v>
      </c>
      <c r="D11" s="6" t="s">
        <v>5</v>
      </c>
    </row>
    <row r="12" spans="1:5" x14ac:dyDescent="0.4">
      <c r="B12" s="10"/>
      <c r="C12" s="11"/>
      <c r="D12" s="10"/>
    </row>
    <row r="13" spans="1:5" ht="21" x14ac:dyDescent="0.4">
      <c r="B13" s="4" t="s">
        <v>11</v>
      </c>
      <c r="C13" s="5">
        <v>5</v>
      </c>
      <c r="D13" s="4" t="s">
        <v>8</v>
      </c>
      <c r="E13" s="1"/>
    </row>
    <row r="14" spans="1:5" ht="21" x14ac:dyDescent="0.4">
      <c r="B14" s="4"/>
      <c r="C14" s="5"/>
      <c r="D14" s="4"/>
      <c r="E14" s="1"/>
    </row>
    <row r="15" spans="1:5" ht="21" x14ac:dyDescent="0.4">
      <c r="B15" s="4" t="s">
        <v>14</v>
      </c>
      <c r="C15" s="9">
        <f>((C10+C11)/C10)-((C8+C11)/(C8+C9))</f>
        <v>5.5</v>
      </c>
      <c r="D15" s="4"/>
      <c r="E15" s="1"/>
    </row>
    <row r="16" spans="1:5" ht="21" x14ac:dyDescent="0.4">
      <c r="B16" s="4" t="s">
        <v>13</v>
      </c>
      <c r="C16" s="5">
        <f>C13*((C8+C11)/(C8+C9))</f>
        <v>2.5</v>
      </c>
      <c r="D16" s="4" t="s">
        <v>8</v>
      </c>
      <c r="E16" s="3" t="s">
        <v>15</v>
      </c>
    </row>
    <row r="17" spans="2:21" ht="21" x14ac:dyDescent="0.4">
      <c r="B17" s="7" t="s">
        <v>25</v>
      </c>
      <c r="C17" s="8">
        <f>(C15*C7)+C16</f>
        <v>4.7</v>
      </c>
      <c r="D17" s="4" t="s">
        <v>8</v>
      </c>
      <c r="E17" s="3" t="s">
        <v>26</v>
      </c>
    </row>
    <row r="18" spans="2:21" x14ac:dyDescent="0.4">
      <c r="C18" s="2"/>
      <c r="U18">
        <v>2927</v>
      </c>
    </row>
    <row r="19" spans="2:21" x14ac:dyDescent="0.4">
      <c r="C19" s="2"/>
      <c r="U19">
        <f>U18/4095*5</f>
        <v>3.5738705738705741</v>
      </c>
    </row>
    <row r="20" spans="2:21" x14ac:dyDescent="0.4">
      <c r="C20" s="2"/>
    </row>
    <row r="21" spans="2:21" x14ac:dyDescent="0.4">
      <c r="C21" s="2"/>
    </row>
    <row r="26" spans="2:21" ht="21" x14ac:dyDescent="0.4">
      <c r="B26" s="12" t="s">
        <v>23</v>
      </c>
      <c r="C26" s="13">
        <f>(16384/((C15*C7)*4095/5))*128</f>
        <v>1163.9205239205239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3073" r:id="rId4">
          <objectPr defaultSize="0" r:id="rId5">
            <anchor moveWithCells="1">
              <from>
                <xdr:col>1</xdr:col>
                <xdr:colOff>7620</xdr:colOff>
                <xdr:row>17</xdr:row>
                <xdr:rowOff>190500</xdr:rowOff>
              </from>
              <to>
                <xdr:col>4</xdr:col>
                <xdr:colOff>1211580</xdr:colOff>
                <xdr:row>23</xdr:row>
                <xdr:rowOff>198120</xdr:rowOff>
              </to>
            </anchor>
          </objectPr>
        </oleObject>
      </mc:Choice>
      <mc:Fallback>
        <oleObject progId="Equation.DSMT4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26"/>
  <sheetViews>
    <sheetView zoomScale="70" zoomScaleNormal="70" workbookViewId="0">
      <selection activeCell="X24" sqref="X24"/>
    </sheetView>
  </sheetViews>
  <sheetFormatPr defaultRowHeight="17.399999999999999" x14ac:dyDescent="0.4"/>
  <cols>
    <col min="2" max="2" width="23.09765625" bestFit="1" customWidth="1"/>
    <col min="3" max="3" width="14.09765625" customWidth="1"/>
    <col min="5" max="5" width="22.19921875" bestFit="1" customWidth="1"/>
  </cols>
  <sheetData>
    <row r="3" spans="1:5" ht="21" x14ac:dyDescent="0.4">
      <c r="C3" s="1"/>
      <c r="D3" s="1"/>
    </row>
    <row r="4" spans="1:5" ht="21" x14ac:dyDescent="0.4">
      <c r="B4" s="1"/>
      <c r="C4" s="1"/>
      <c r="D4" s="1"/>
    </row>
    <row r="5" spans="1:5" ht="21" x14ac:dyDescent="0.4">
      <c r="B5" s="4" t="s">
        <v>6</v>
      </c>
      <c r="C5" s="5">
        <v>4</v>
      </c>
      <c r="D5" s="4" t="s">
        <v>9</v>
      </c>
    </row>
    <row r="6" spans="1:5" ht="21" x14ac:dyDescent="0.4">
      <c r="A6" s="1"/>
      <c r="B6" s="4" t="s">
        <v>7</v>
      </c>
      <c r="C6" s="17">
        <v>0.1</v>
      </c>
      <c r="D6" s="6" t="s">
        <v>4</v>
      </c>
    </row>
    <row r="7" spans="1:5" ht="21" x14ac:dyDescent="0.4">
      <c r="B7" s="7" t="s">
        <v>10</v>
      </c>
      <c r="C7" s="18">
        <f>C5*C6</f>
        <v>0.4</v>
      </c>
      <c r="D7" s="6" t="s">
        <v>8</v>
      </c>
    </row>
    <row r="8" spans="1:5" ht="21" x14ac:dyDescent="0.4">
      <c r="B8" s="4" t="s">
        <v>0</v>
      </c>
      <c r="C8" s="9">
        <v>3</v>
      </c>
      <c r="D8" s="6" t="s">
        <v>5</v>
      </c>
    </row>
    <row r="9" spans="1:5" ht="21" x14ac:dyDescent="0.4">
      <c r="B9" s="4" t="s">
        <v>1</v>
      </c>
      <c r="C9" s="9">
        <v>33</v>
      </c>
      <c r="D9" s="6" t="s">
        <v>5</v>
      </c>
    </row>
    <row r="10" spans="1:5" ht="21" x14ac:dyDescent="0.4">
      <c r="B10" s="4" t="s">
        <v>2</v>
      </c>
      <c r="C10" s="9">
        <v>3</v>
      </c>
      <c r="D10" s="6" t="s">
        <v>5</v>
      </c>
    </row>
    <row r="11" spans="1:5" ht="21" x14ac:dyDescent="0.4">
      <c r="B11" s="4" t="s">
        <v>3</v>
      </c>
      <c r="C11" s="9">
        <v>15</v>
      </c>
      <c r="D11" s="6" t="s">
        <v>5</v>
      </c>
    </row>
    <row r="12" spans="1:5" x14ac:dyDescent="0.4">
      <c r="B12" s="10"/>
      <c r="C12" s="11"/>
      <c r="D12" s="10"/>
    </row>
    <row r="13" spans="1:5" ht="21" x14ac:dyDescent="0.4">
      <c r="B13" s="4" t="s">
        <v>11</v>
      </c>
      <c r="C13" s="5">
        <v>5</v>
      </c>
      <c r="D13" s="4" t="s">
        <v>12</v>
      </c>
      <c r="E13" s="1"/>
    </row>
    <row r="14" spans="1:5" ht="21" x14ac:dyDescent="0.4">
      <c r="B14" s="4"/>
      <c r="C14" s="5"/>
      <c r="D14" s="4"/>
      <c r="E14" s="1"/>
    </row>
    <row r="15" spans="1:5" ht="21" x14ac:dyDescent="0.4">
      <c r="B15" s="4" t="s">
        <v>14</v>
      </c>
      <c r="C15" s="9">
        <f>((C10+C11)/C10)-((C8+C11)/(C8+C9))</f>
        <v>5.5</v>
      </c>
      <c r="D15" s="4"/>
      <c r="E15" s="1"/>
    </row>
    <row r="16" spans="1:5" ht="21" x14ac:dyDescent="0.4">
      <c r="B16" s="4" t="s">
        <v>13</v>
      </c>
      <c r="C16" s="5">
        <f>C13*((C8+C11)/(C8+C9))</f>
        <v>2.5</v>
      </c>
      <c r="D16" s="4" t="s">
        <v>12</v>
      </c>
      <c r="E16" s="3" t="s">
        <v>15</v>
      </c>
    </row>
    <row r="17" spans="2:5" ht="21" x14ac:dyDescent="0.4">
      <c r="B17" s="7" t="s">
        <v>25</v>
      </c>
      <c r="C17" s="8">
        <f>(C15*C7)+C16</f>
        <v>4.7</v>
      </c>
      <c r="D17" s="4" t="s">
        <v>12</v>
      </c>
      <c r="E17" s="3" t="s">
        <v>26</v>
      </c>
    </row>
    <row r="18" spans="2:5" x14ac:dyDescent="0.4">
      <c r="C18" s="2"/>
    </row>
    <row r="19" spans="2:5" x14ac:dyDescent="0.4">
      <c r="C19" s="2"/>
    </row>
    <row r="20" spans="2:5" x14ac:dyDescent="0.4">
      <c r="C20" s="2"/>
    </row>
    <row r="21" spans="2:5" x14ac:dyDescent="0.4">
      <c r="C21" s="2"/>
    </row>
    <row r="26" spans="2:5" ht="21" x14ac:dyDescent="0.4">
      <c r="B26" s="12" t="s">
        <v>23</v>
      </c>
      <c r="C26" s="13">
        <f>(16384/((C15*C7)*4095/5))*128</f>
        <v>1163.9205239205239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6" r:id="rId4">
          <objectPr defaultSize="0" r:id="rId5">
            <anchor moveWithCells="1">
              <from>
                <xdr:col>1</xdr:col>
                <xdr:colOff>7620</xdr:colOff>
                <xdr:row>17</xdr:row>
                <xdr:rowOff>190500</xdr:rowOff>
              </from>
              <to>
                <xdr:col>4</xdr:col>
                <xdr:colOff>1211580</xdr:colOff>
                <xdr:row>23</xdr:row>
                <xdr:rowOff>198120</xdr:rowOff>
              </to>
            </anchor>
          </objectPr>
        </oleObject>
      </mc:Choice>
      <mc:Fallback>
        <oleObject progId="Equation.DSMT4" shapeId="1026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O20"/>
  <sheetViews>
    <sheetView zoomScale="85" zoomScaleNormal="85" workbookViewId="0">
      <selection activeCell="G22" sqref="G22"/>
    </sheetView>
  </sheetViews>
  <sheetFormatPr defaultRowHeight="17.399999999999999" x14ac:dyDescent="0.4"/>
  <cols>
    <col min="2" max="2" width="22" bestFit="1" customWidth="1"/>
    <col min="3" max="3" width="14.09765625" bestFit="1" customWidth="1"/>
    <col min="5" max="5" width="21.19921875" bestFit="1" customWidth="1"/>
  </cols>
  <sheetData>
    <row r="6" spans="2:15" ht="21" x14ac:dyDescent="0.4">
      <c r="B6" s="7" t="s">
        <v>16</v>
      </c>
      <c r="C6" s="15">
        <v>370</v>
      </c>
      <c r="D6" s="4" t="s">
        <v>8</v>
      </c>
      <c r="E6" s="1"/>
    </row>
    <row r="7" spans="2:15" ht="21" x14ac:dyDescent="0.4">
      <c r="B7" s="4" t="s">
        <v>0</v>
      </c>
      <c r="C7" s="14">
        <v>400</v>
      </c>
      <c r="D7" s="4" t="s">
        <v>20</v>
      </c>
      <c r="E7" s="1"/>
    </row>
    <row r="8" spans="2:15" ht="21" x14ac:dyDescent="0.4">
      <c r="B8" s="4" t="s">
        <v>1</v>
      </c>
      <c r="C8" s="14">
        <v>4.7</v>
      </c>
      <c r="D8" s="4" t="s">
        <v>20</v>
      </c>
      <c r="E8" s="1"/>
    </row>
    <row r="9" spans="2:15" ht="21" x14ac:dyDescent="0.4">
      <c r="B9" s="4"/>
      <c r="C9" s="4"/>
      <c r="D9" s="4"/>
      <c r="E9" s="1"/>
      <c r="L9">
        <v>282</v>
      </c>
      <c r="M9">
        <f>L9*SQRT(2)</f>
        <v>398.80822458921284</v>
      </c>
      <c r="N9">
        <v>3.109</v>
      </c>
      <c r="O9">
        <f>N9/5*4095</f>
        <v>2546.2710000000002</v>
      </c>
    </row>
    <row r="10" spans="2:15" ht="21" x14ac:dyDescent="0.4">
      <c r="B10" s="7" t="s">
        <v>21</v>
      </c>
      <c r="C10" s="16">
        <f>C6*(C8/(C7+C8))</f>
        <v>4.2970101309612065</v>
      </c>
      <c r="D10" s="4" t="s">
        <v>8</v>
      </c>
      <c r="E10" s="1" t="s">
        <v>22</v>
      </c>
      <c r="L10">
        <v>220</v>
      </c>
      <c r="M10">
        <f t="shared" ref="M10:M12" si="0">L10*SQRT(2)</f>
        <v>311.12698372208092</v>
      </c>
      <c r="N10">
        <v>2.4089999999999998</v>
      </c>
      <c r="O10">
        <f t="shared" ref="O10:O12" si="1">N10/5*4095</f>
        <v>1972.9709999999998</v>
      </c>
    </row>
    <row r="11" spans="2:15" ht="21" x14ac:dyDescent="0.4">
      <c r="B11" s="1"/>
      <c r="C11" s="1"/>
      <c r="D11" s="1"/>
      <c r="E11" s="1"/>
      <c r="L11">
        <v>143</v>
      </c>
      <c r="M11">
        <f t="shared" si="0"/>
        <v>202.23253941935261</v>
      </c>
      <c r="N11">
        <v>1.554</v>
      </c>
      <c r="O11">
        <f t="shared" si="1"/>
        <v>1272.7260000000001</v>
      </c>
    </row>
    <row r="12" spans="2:15" ht="21" x14ac:dyDescent="0.4">
      <c r="B12" s="1"/>
      <c r="C12" s="1"/>
      <c r="D12" s="1"/>
      <c r="E12" s="1"/>
      <c r="L12">
        <v>190</v>
      </c>
      <c r="M12">
        <f t="shared" si="0"/>
        <v>268.70057685088807</v>
      </c>
      <c r="N12">
        <v>2.0880000000000001</v>
      </c>
      <c r="O12">
        <f t="shared" si="1"/>
        <v>1710.0720000000001</v>
      </c>
    </row>
    <row r="13" spans="2:15" ht="21" x14ac:dyDescent="0.4">
      <c r="B13" s="1"/>
      <c r="C13" s="1"/>
      <c r="D13" s="1"/>
      <c r="E13" s="1"/>
    </row>
    <row r="14" spans="2:15" ht="21" x14ac:dyDescent="0.4">
      <c r="B14" s="1"/>
      <c r="C14" s="1"/>
      <c r="D14" s="1"/>
      <c r="E14" s="1"/>
    </row>
    <row r="15" spans="2:15" ht="21" x14ac:dyDescent="0.4">
      <c r="B15" s="1"/>
      <c r="C15" s="1"/>
      <c r="D15" s="1"/>
      <c r="E15" s="1"/>
    </row>
    <row r="16" spans="2:15" ht="21" x14ac:dyDescent="0.4">
      <c r="B16" s="1"/>
      <c r="C16" s="1"/>
      <c r="D16" s="1"/>
      <c r="E16" s="1"/>
    </row>
    <row r="17" spans="2:5" ht="21" x14ac:dyDescent="0.4">
      <c r="B17" s="1"/>
      <c r="C17" s="1"/>
      <c r="D17" s="1"/>
      <c r="E17" s="1"/>
    </row>
    <row r="18" spans="2:5" ht="21" x14ac:dyDescent="0.4">
      <c r="B18" s="1"/>
      <c r="C18" s="1"/>
      <c r="D18" s="1"/>
      <c r="E18" s="1"/>
    </row>
    <row r="19" spans="2:5" ht="21" x14ac:dyDescent="0.4">
      <c r="B19" s="1"/>
      <c r="C19" s="1"/>
      <c r="D19" s="1"/>
      <c r="E19" s="1"/>
    </row>
    <row r="20" spans="2:5" ht="21" x14ac:dyDescent="0.4">
      <c r="B20" s="12" t="s">
        <v>24</v>
      </c>
      <c r="C20" s="13">
        <f>16384*2^8/(C10*4095/5)</f>
        <v>1191.8171354426672</v>
      </c>
      <c r="D20" s="1"/>
      <c r="E20" s="1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7169" r:id="rId4">
          <objectPr defaultSize="0" autoPict="0" r:id="rId5">
            <anchor moveWithCells="1">
              <from>
                <xdr:col>1</xdr:col>
                <xdr:colOff>22860</xdr:colOff>
                <xdr:row>12</xdr:row>
                <xdr:rowOff>30480</xdr:rowOff>
              </from>
              <to>
                <xdr:col>4</xdr:col>
                <xdr:colOff>1242060</xdr:colOff>
                <xdr:row>16</xdr:row>
                <xdr:rowOff>236220</xdr:rowOff>
              </to>
            </anchor>
          </objectPr>
        </oleObject>
      </mc:Choice>
      <mc:Fallback>
        <oleObject progId="Equation.DSMT4" shapeId="7169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6:O27"/>
  <sheetViews>
    <sheetView zoomScale="85" zoomScaleNormal="85" workbookViewId="0">
      <selection activeCell="N13" sqref="N13"/>
    </sheetView>
  </sheetViews>
  <sheetFormatPr defaultRowHeight="17.399999999999999" x14ac:dyDescent="0.4"/>
  <cols>
    <col min="2" max="2" width="22" bestFit="1" customWidth="1"/>
    <col min="3" max="3" width="14.09765625" bestFit="1" customWidth="1"/>
    <col min="5" max="5" width="21.19921875" bestFit="1" customWidth="1"/>
  </cols>
  <sheetData>
    <row r="6" spans="2:15" ht="21" x14ac:dyDescent="0.4">
      <c r="B6" s="7" t="s">
        <v>16</v>
      </c>
      <c r="C6" s="15">
        <v>268.7</v>
      </c>
      <c r="D6" s="4" t="s">
        <v>17</v>
      </c>
      <c r="E6" s="1"/>
    </row>
    <row r="7" spans="2:15" ht="21" x14ac:dyDescent="0.4">
      <c r="B7" s="4" t="s">
        <v>18</v>
      </c>
      <c r="C7" s="14">
        <v>600</v>
      </c>
      <c r="D7" s="4" t="s">
        <v>20</v>
      </c>
      <c r="E7" s="1"/>
    </row>
    <row r="8" spans="2:15" ht="21" x14ac:dyDescent="0.4">
      <c r="B8" s="4" t="s">
        <v>19</v>
      </c>
      <c r="C8" s="14">
        <v>4.7</v>
      </c>
      <c r="D8" s="4" t="s">
        <v>20</v>
      </c>
      <c r="E8" s="1"/>
    </row>
    <row r="9" spans="2:15" ht="21" x14ac:dyDescent="0.4">
      <c r="B9" s="4"/>
      <c r="C9" s="4"/>
      <c r="D9" s="4"/>
      <c r="E9" s="1"/>
      <c r="L9">
        <v>282</v>
      </c>
      <c r="M9">
        <f>L9*SQRT(2)</f>
        <v>398.80822458921284</v>
      </c>
      <c r="N9">
        <v>3.109</v>
      </c>
      <c r="O9">
        <f>N9/5*4095</f>
        <v>2546.2710000000002</v>
      </c>
    </row>
    <row r="10" spans="2:15" ht="21" x14ac:dyDescent="0.4">
      <c r="B10" s="7" t="s">
        <v>21</v>
      </c>
      <c r="C10" s="16">
        <f>C6*(C8/(C7+C8))</f>
        <v>2.0884570861584257</v>
      </c>
      <c r="D10" s="4" t="s">
        <v>17</v>
      </c>
      <c r="E10" s="1" t="s">
        <v>22</v>
      </c>
      <c r="L10">
        <v>220</v>
      </c>
      <c r="M10">
        <f t="shared" ref="M10:M12" si="0">L10*SQRT(2)</f>
        <v>311.12698372208092</v>
      </c>
      <c r="N10">
        <v>2.4089999999999998</v>
      </c>
      <c r="O10">
        <f t="shared" ref="O10:O12" si="1">N10/5*4095</f>
        <v>1972.9709999999998</v>
      </c>
    </row>
    <row r="11" spans="2:15" ht="21" x14ac:dyDescent="0.4">
      <c r="B11" s="1"/>
      <c r="C11" s="1"/>
      <c r="D11" s="1"/>
      <c r="E11" s="1"/>
      <c r="L11">
        <v>143</v>
      </c>
      <c r="M11">
        <f t="shared" si="0"/>
        <v>202.23253941935261</v>
      </c>
      <c r="N11">
        <v>1.554</v>
      </c>
      <c r="O11">
        <f t="shared" si="1"/>
        <v>1272.7260000000001</v>
      </c>
    </row>
    <row r="12" spans="2:15" ht="21" x14ac:dyDescent="0.4">
      <c r="B12" s="1"/>
      <c r="C12" s="1"/>
      <c r="D12" s="1"/>
      <c r="E12" s="1"/>
      <c r="L12">
        <v>190</v>
      </c>
      <c r="M12">
        <f t="shared" si="0"/>
        <v>268.70057685088807</v>
      </c>
      <c r="N12">
        <v>2.0880000000000001</v>
      </c>
      <c r="O12">
        <f t="shared" si="1"/>
        <v>1710.0720000000001</v>
      </c>
    </row>
    <row r="13" spans="2:15" ht="21" x14ac:dyDescent="0.4">
      <c r="B13" s="1"/>
      <c r="C13" s="1"/>
      <c r="D13" s="1"/>
      <c r="E13" s="1"/>
    </row>
    <row r="14" spans="2:15" ht="21" x14ac:dyDescent="0.4">
      <c r="B14" s="1"/>
      <c r="C14" s="1"/>
      <c r="D14" s="1"/>
      <c r="E14" s="1"/>
    </row>
    <row r="15" spans="2:15" ht="21" x14ac:dyDescent="0.4">
      <c r="B15" s="1"/>
      <c r="C15" s="1"/>
      <c r="D15" s="1"/>
      <c r="E15" s="1"/>
    </row>
    <row r="16" spans="2:15" ht="21" x14ac:dyDescent="0.4">
      <c r="B16" s="1"/>
      <c r="C16" s="1"/>
      <c r="D16" s="1"/>
      <c r="E16" s="1"/>
    </row>
    <row r="17" spans="2:7" ht="21" x14ac:dyDescent="0.4">
      <c r="B17" s="1"/>
      <c r="C17" s="1"/>
      <c r="D17" s="1"/>
      <c r="E17" s="1"/>
    </row>
    <row r="18" spans="2:7" ht="21" x14ac:dyDescent="0.4">
      <c r="B18" s="1"/>
      <c r="C18" s="1"/>
      <c r="D18" s="1"/>
      <c r="E18" s="1"/>
    </row>
    <row r="19" spans="2:7" ht="21" x14ac:dyDescent="0.4">
      <c r="B19" s="1"/>
      <c r="C19" s="1"/>
      <c r="D19" s="1"/>
      <c r="E19" s="1"/>
    </row>
    <row r="20" spans="2:7" ht="21" x14ac:dyDescent="0.4">
      <c r="B20" s="12" t="s">
        <v>24</v>
      </c>
      <c r="C20" s="13">
        <f>16384*2^8/(C10*4095/5)</f>
        <v>2452.1692780724047</v>
      </c>
      <c r="D20" s="1"/>
      <c r="E20" s="1"/>
    </row>
    <row r="26" spans="2:7" x14ac:dyDescent="0.4">
      <c r="G26">
        <v>2.4</v>
      </c>
    </row>
    <row r="27" spans="2:7" x14ac:dyDescent="0.4">
      <c r="G27">
        <f>G26*4095/5</f>
        <v>1965.6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2092" r:id="rId4">
          <objectPr defaultSize="0" r:id="rId5">
            <anchor moveWithCells="1">
              <from>
                <xdr:col>1</xdr:col>
                <xdr:colOff>22860</xdr:colOff>
                <xdr:row>12</xdr:row>
                <xdr:rowOff>30480</xdr:rowOff>
              </from>
              <to>
                <xdr:col>4</xdr:col>
                <xdr:colOff>1242060</xdr:colOff>
                <xdr:row>16</xdr:row>
                <xdr:rowOff>236220</xdr:rowOff>
              </to>
            </anchor>
          </objectPr>
        </oleObject>
      </mc:Choice>
      <mc:Fallback>
        <oleObject progId="Equation.DSMT4" shapeId="2092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D17"/>
  <sheetViews>
    <sheetView workbookViewId="0">
      <selection activeCell="C12" sqref="C12"/>
    </sheetView>
  </sheetViews>
  <sheetFormatPr defaultRowHeight="17.399999999999999" x14ac:dyDescent="0.4"/>
  <cols>
    <col min="2" max="2" width="23" customWidth="1"/>
    <col min="3" max="3" width="14.3984375" customWidth="1"/>
    <col min="4" max="4" width="10.59765625" customWidth="1"/>
  </cols>
  <sheetData>
    <row r="4" spans="2:4" ht="21" x14ac:dyDescent="0.4">
      <c r="B4" s="4" t="s">
        <v>18</v>
      </c>
      <c r="C4" s="14">
        <f>V_scale!C7</f>
        <v>600</v>
      </c>
      <c r="D4" s="19" t="s">
        <v>20</v>
      </c>
    </row>
    <row r="5" spans="2:4" ht="21" x14ac:dyDescent="0.4">
      <c r="B5" s="4" t="s">
        <v>19</v>
      </c>
      <c r="C5" s="14">
        <f>V_scale!C8</f>
        <v>4.7</v>
      </c>
      <c r="D5" s="20"/>
    </row>
    <row r="6" spans="2:4" ht="21" x14ac:dyDescent="0.4">
      <c r="B6" s="7" t="s">
        <v>31</v>
      </c>
      <c r="C6" s="15">
        <f xml:space="preserve"> 220 * 1.25</f>
        <v>275</v>
      </c>
      <c r="D6" s="19" t="s">
        <v>34</v>
      </c>
    </row>
    <row r="7" spans="2:4" ht="21" x14ac:dyDescent="0.4">
      <c r="B7" s="7" t="s">
        <v>32</v>
      </c>
      <c r="C7" s="15">
        <f xml:space="preserve"> 220 * 1.15</f>
        <v>252.99999999999997</v>
      </c>
      <c r="D7" s="21"/>
    </row>
    <row r="8" spans="2:4" ht="21" x14ac:dyDescent="0.4">
      <c r="B8" s="7" t="s">
        <v>28</v>
      </c>
      <c r="C8" s="15">
        <v>243</v>
      </c>
      <c r="D8" s="21"/>
    </row>
    <row r="9" spans="2:4" ht="21" x14ac:dyDescent="0.4">
      <c r="B9" s="7" t="s">
        <v>29</v>
      </c>
      <c r="C9" s="15">
        <v>190</v>
      </c>
      <c r="D9" s="21"/>
    </row>
    <row r="10" spans="2:4" ht="21" x14ac:dyDescent="0.4">
      <c r="B10" s="7" t="s">
        <v>30</v>
      </c>
      <c r="C10" s="15">
        <v>180</v>
      </c>
      <c r="D10" s="21"/>
    </row>
    <row r="11" spans="2:4" ht="21" x14ac:dyDescent="0.4">
      <c r="B11" s="7" t="s">
        <v>33</v>
      </c>
      <c r="C11" s="15">
        <v>115</v>
      </c>
      <c r="D11" s="22"/>
    </row>
    <row r="12" spans="2:4" ht="21" x14ac:dyDescent="0.4">
      <c r="B12" s="7" t="s">
        <v>31</v>
      </c>
      <c r="C12" s="4">
        <f>ROUND((C6 * ($C$5 / ($C$4 + $C$5)) * POWER(2, 0.5)) / 5 * 4095, 0)</f>
        <v>2476</v>
      </c>
      <c r="D12" s="19" t="s">
        <v>27</v>
      </c>
    </row>
    <row r="13" spans="2:4" ht="21" x14ac:dyDescent="0.4">
      <c r="B13" s="7" t="s">
        <v>32</v>
      </c>
      <c r="C13" s="4">
        <f t="shared" ref="C13:C17" si="0">ROUND((C7 * ($C$5 / ($C$4 + $C$5)) * POWER(2, 0.5)) / 5 * 4095, 0)</f>
        <v>2278</v>
      </c>
      <c r="D13" s="21"/>
    </row>
    <row r="14" spans="2:4" ht="21" x14ac:dyDescent="0.4">
      <c r="B14" s="7" t="s">
        <v>28</v>
      </c>
      <c r="C14" s="4">
        <f t="shared" si="0"/>
        <v>2188</v>
      </c>
      <c r="D14" s="21"/>
    </row>
    <row r="15" spans="2:4" ht="21" x14ac:dyDescent="0.4">
      <c r="B15" s="7" t="s">
        <v>29</v>
      </c>
      <c r="C15" s="4">
        <f t="shared" si="0"/>
        <v>1710</v>
      </c>
      <c r="D15" s="21"/>
    </row>
    <row r="16" spans="2:4" ht="21" x14ac:dyDescent="0.4">
      <c r="B16" s="7" t="s">
        <v>30</v>
      </c>
      <c r="C16" s="4">
        <f t="shared" si="0"/>
        <v>1620</v>
      </c>
      <c r="D16" s="21"/>
    </row>
    <row r="17" spans="2:4" ht="21" x14ac:dyDescent="0.4">
      <c r="B17" s="7" t="s">
        <v>33</v>
      </c>
      <c r="C17" s="4">
        <f t="shared" si="0"/>
        <v>1035</v>
      </c>
      <c r="D17" s="22"/>
    </row>
  </sheetData>
  <mergeCells count="3">
    <mergeCell ref="D4:D5"/>
    <mergeCell ref="D12:D17"/>
    <mergeCell ref="D6:D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I_scale_aFPB</vt:lpstr>
      <vt:lpstr>I_scale_웅진샘플</vt:lpstr>
      <vt:lpstr>I_scale</vt:lpstr>
      <vt:lpstr>V_scale_aFPB</vt:lpstr>
      <vt:lpstr>V_scale</vt:lpstr>
      <vt:lpstr>DC_Link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myunghyuk.jang</dc:creator>
  <cp:lastModifiedBy>Inbeom Ryu(유인범)</cp:lastModifiedBy>
  <dcterms:created xsi:type="dcterms:W3CDTF">2019-05-09T01:42:39Z</dcterms:created>
  <dcterms:modified xsi:type="dcterms:W3CDTF">2022-04-19T07:57:32Z</dcterms:modified>
</cp:coreProperties>
</file>